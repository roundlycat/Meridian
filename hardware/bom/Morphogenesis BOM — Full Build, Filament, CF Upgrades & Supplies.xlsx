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rdware BOM" sheetId="2" state="visible" r:id="rId2"/>
    <sheet xmlns:r="http://schemas.openxmlformats.org/officeDocument/2006/relationships" name="Filament Guide" sheetId="3" state="visible" r:id="rId3"/>
    <sheet xmlns:r="http://schemas.openxmlformats.org/officeDocument/2006/relationships" name="CF Upgrade Kit" sheetId="4" state="visible" r:id="rId4"/>
    <sheet xmlns:r="http://schemas.openxmlformats.org/officeDocument/2006/relationships" name="Supply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1F2"/>
      <sz val="10"/>
    </font>
    <font>
      <b val="1"/>
      <color rgb="00FFFFFF"/>
    </font>
    <font>
      <b val="1"/>
    </font>
    <font>
      <b val="1"/>
      <color rgb="00FFFFFF"/>
      <sz val="12"/>
    </font>
    <font/>
    <font>
      <b val="1"/>
      <color rgb="00FFFFFF"/>
      <sz val="13"/>
    </font>
    <font>
      <b val="1"/>
      <color rgb="00FFFFFF"/>
      <sz val="11"/>
    </font>
    <font>
      <b val="1"/>
      <color rgb="00FFFFFF"/>
      <sz val="16"/>
    </font>
    <font>
      <i val="1"/>
      <color rgb="00D9E1F2"/>
      <sz val="9"/>
    </font>
    <font>
      <sz val="8"/>
    </font>
    <font>
      <i val="1"/>
      <color rgb="00666666"/>
      <sz val="8"/>
    </font>
    <font>
      <b val="1"/>
      <color rgb="009C5700"/>
    </font>
    <font>
      <b val="1"/>
      <color rgb="00375623"/>
    </font>
    <font>
      <b val="1"/>
      <color rgb="009C0006"/>
    </font>
    <font>
      <b val="1"/>
      <sz val="10"/>
    </font>
    <font>
      <i val="1"/>
      <sz val="9"/>
    </font>
    <font>
      <i val="1"/>
      <color rgb="00FFFFFF"/>
      <sz val="9"/>
    </font>
    <font>
      <color rgb="001F3864"/>
    </font>
    <font>
      <i val="1"/>
      <color rgb="00808080"/>
      <sz val="8"/>
    </font>
  </fonts>
  <fills count="2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090"/>
        <bgColor rgb="002E5090"/>
      </patternFill>
    </fill>
    <fill>
      <patternFill patternType="solid">
        <fgColor rgb="00DDEEFF"/>
        <bgColor rgb="00DDEEFF"/>
      </patternFill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4CCFF"/>
        <bgColor rgb="00F4CCFF"/>
      </patternFill>
    </fill>
    <fill>
      <patternFill patternType="solid">
        <fgColor rgb="00FFD966"/>
        <bgColor rgb="00FFD966"/>
      </patternFill>
    </fill>
    <fill>
      <patternFill patternType="solid">
        <fgColor rgb="00FF0000"/>
        <bgColor rgb="00FF0000"/>
      </patternFill>
    </fill>
    <fill>
      <patternFill patternType="solid">
        <fgColor rgb="00FF8C00"/>
        <bgColor rgb="00FF8C00"/>
      </patternFill>
    </fill>
    <fill>
      <patternFill patternType="solid">
        <fgColor rgb="00375623"/>
        <bgColor rgb="00375623"/>
      </patternFill>
    </fill>
    <fill>
      <patternFill patternType="solid">
        <fgColor rgb="00FFFFFF"/>
        <bgColor rgb="00FFFFFF"/>
      </patternFill>
    </fill>
    <fill>
      <patternFill patternType="solid">
        <fgColor rgb="00EEF2F8"/>
        <bgColor rgb="00EEF2F8"/>
      </patternFill>
    </fill>
  </fills>
  <borders count="3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 style="medium">
        <color rgb="00000000"/>
      </right>
      <top/>
      <bottom/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6" fillId="0" borderId="5" pivotButton="0" quotePrefix="0" xfId="0"/>
    <xf numFmtId="0" fontId="6" fillId="0" borderId="1" pivotButton="0" quotePrefix="0" xfId="0"/>
    <xf numFmtId="164" fontId="6" fillId="0" borderId="6" pivotButton="0" quotePrefix="0" xfId="0"/>
    <xf numFmtId="0" fontId="4" fillId="2" borderId="7" pivotButton="0" quotePrefix="0" xfId="0"/>
    <xf numFmtId="0" fontId="4" fillId="2" borderId="8" pivotButton="0" quotePrefix="0" xfId="0"/>
    <xf numFmtId="164" fontId="4" fillId="2" borderId="9" pivotButton="0" quotePrefix="0" xfId="0"/>
    <xf numFmtId="0" fontId="7" fillId="2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0" fillId="0" borderId="1" pivotButton="0" quotePrefix="0" xfId="0"/>
    <xf numFmtId="0" fontId="0" fillId="0" borderId="6" pivotButton="0" quotePrefix="0" xfId="0"/>
    <xf numFmtId="0" fontId="4" fillId="4" borderId="5" applyAlignment="1" pivotButton="0" quotePrefix="0" xfId="0">
      <alignment horizontal="center"/>
    </xf>
    <xf numFmtId="0" fontId="0" fillId="4" borderId="1" pivotButton="0" quotePrefix="0" xfId="0"/>
    <xf numFmtId="0" fontId="0" fillId="4" borderId="6" pivotButton="0" quotePrefix="0" xfId="0"/>
    <xf numFmtId="0" fontId="4" fillId="4" borderId="7" applyAlignment="1" pivotButton="0" quotePrefix="0" xfId="0">
      <alignment horizontal="center"/>
    </xf>
    <xf numFmtId="0" fontId="0" fillId="4" borderId="8" pivotButton="0" quotePrefix="0" xfId="0"/>
    <xf numFmtId="0" fontId="0" fillId="4" borderId="9" pivotButton="0" quotePrefix="0" xfId="0"/>
    <xf numFmtId="0" fontId="3" fillId="5" borderId="1" applyAlignment="1" pivotButton="0" quotePrefix="0" xfId="0">
      <alignment horizontal="center"/>
    </xf>
    <xf numFmtId="164" fontId="0" fillId="0" borderId="1" pivotButton="0" quotePrefix="0" xfId="0"/>
    <xf numFmtId="0" fontId="9" fillId="2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3" fillId="3" borderId="10" applyAlignment="1" pivotButton="0" quotePrefix="0" xfId="0">
      <alignment horizontal="center" wrapText="1"/>
    </xf>
    <xf numFmtId="0" fontId="3" fillId="3" borderId="11" applyAlignment="1" pivotButton="0" quotePrefix="0" xfId="0">
      <alignment horizontal="center" wrapText="1"/>
    </xf>
    <xf numFmtId="0" fontId="3" fillId="3" borderId="12" applyAlignment="1" pivotButton="0" quotePrefix="0" xfId="0">
      <alignment horizontal="center" wrapText="1"/>
    </xf>
    <xf numFmtId="0" fontId="0" fillId="6" borderId="5" pivotButton="0" quotePrefix="0" xfId="0"/>
    <xf numFmtId="0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164" fontId="0" fillId="6" borderId="1" pivotButton="0" quotePrefix="0" xfId="0"/>
    <xf numFmtId="0" fontId="11" fillId="6" borderId="1" applyAlignment="1" pivotButton="0" quotePrefix="0" xfId="0">
      <alignment wrapText="1"/>
    </xf>
    <xf numFmtId="0" fontId="0" fillId="6" borderId="6" applyAlignment="1" pivotButton="0" quotePrefix="0" xfId="0">
      <alignment wrapText="1"/>
    </xf>
    <xf numFmtId="0" fontId="0" fillId="0" borderId="5" pivotButton="0" quotePrefix="0" xfId="0"/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5" fillId="2" borderId="10" pivotButton="0" quotePrefix="0" xfId="0"/>
    <xf numFmtId="0" fontId="5" fillId="2" borderId="11" pivotButton="0" quotePrefix="0" xfId="0"/>
    <xf numFmtId="164" fontId="5" fillId="2" borderId="11" pivotButton="0" quotePrefix="0" xfId="0"/>
    <xf numFmtId="0" fontId="5" fillId="2" borderId="12" pivotButton="0" quotePrefix="0" xfId="0"/>
    <xf numFmtId="0" fontId="12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7" borderId="5" pivotButton="0" quotePrefix="0" xfId="0"/>
    <xf numFmtId="0" fontId="0" fillId="7" borderId="1" pivotButton="0" quotePrefix="0" xfId="0"/>
    <xf numFmtId="4" fontId="0" fillId="7" borderId="1" pivotButton="0" quotePrefix="0" xfId="0"/>
    <xf numFmtId="164" fontId="0" fillId="7" borderId="1" pivotButton="0" quotePrefix="0" xfId="0"/>
    <xf numFmtId="0" fontId="4" fillId="7" borderId="1" applyAlignment="1" pivotButton="0" quotePrefix="0" xfId="0">
      <alignment horizontal="center"/>
    </xf>
    <xf numFmtId="3" fontId="0" fillId="7" borderId="1" pivotButton="0" quotePrefix="0" xfId="0"/>
    <xf numFmtId="0" fontId="11" fillId="7" borderId="6" applyAlignment="1" pivotButton="0" quotePrefix="0" xfId="0">
      <alignment wrapText="1"/>
    </xf>
    <xf numFmtId="0" fontId="4" fillId="8" borderId="5" pivotButton="0" quotePrefix="0" xfId="0"/>
    <xf numFmtId="0" fontId="0" fillId="8" borderId="1" pivotButton="0" quotePrefix="0" xfId="0"/>
    <xf numFmtId="4" fontId="0" fillId="8" borderId="1" pivotButton="0" quotePrefix="0" xfId="0"/>
    <xf numFmtId="164" fontId="0" fillId="8" borderId="1" pivotButton="0" quotePrefix="0" xfId="0"/>
    <xf numFmtId="0" fontId="4" fillId="8" borderId="1" applyAlignment="1" pivotButton="0" quotePrefix="0" xfId="0">
      <alignment horizontal="center"/>
    </xf>
    <xf numFmtId="0" fontId="14" fillId="8" borderId="1" pivotButton="0" quotePrefix="0" xfId="0"/>
    <xf numFmtId="3" fontId="0" fillId="8" borderId="1" pivotButton="0" quotePrefix="0" xfId="0"/>
    <xf numFmtId="0" fontId="4" fillId="9" borderId="1" applyAlignment="1" pivotButton="0" quotePrefix="0" xfId="0">
      <alignment horizontal="center"/>
    </xf>
    <xf numFmtId="0" fontId="11" fillId="8" borderId="6" applyAlignment="1" pivotButton="0" quotePrefix="0" xfId="0">
      <alignment wrapText="1"/>
    </xf>
    <xf numFmtId="0" fontId="4" fillId="10" borderId="5" pivotButton="0" quotePrefix="0" xfId="0"/>
    <xf numFmtId="0" fontId="0" fillId="10" borderId="1" pivotButton="0" quotePrefix="0" xfId="0"/>
    <xf numFmtId="4" fontId="0" fillId="10" borderId="1" pivotButton="0" quotePrefix="0" xfId="0"/>
    <xf numFmtId="164" fontId="0" fillId="10" borderId="1" pivotButton="0" quotePrefix="0" xfId="0"/>
    <xf numFmtId="0" fontId="4" fillId="10" borderId="1" applyAlignment="1" pivotButton="0" quotePrefix="0" xfId="0">
      <alignment horizontal="center"/>
    </xf>
    <xf numFmtId="3" fontId="0" fillId="10" borderId="1" pivotButton="0" quotePrefix="0" xfId="0"/>
    <xf numFmtId="0" fontId="4" fillId="11" borderId="1" applyAlignment="1" pivotButton="0" quotePrefix="0" xfId="0">
      <alignment horizontal="center"/>
    </xf>
    <xf numFmtId="0" fontId="11" fillId="10" borderId="6" applyAlignment="1" pivotButton="0" quotePrefix="0" xfId="0">
      <alignment wrapText="1"/>
    </xf>
    <xf numFmtId="0" fontId="4" fillId="12" borderId="5" pivotButton="0" quotePrefix="0" xfId="0"/>
    <xf numFmtId="0" fontId="0" fillId="12" borderId="1" pivotButton="0" quotePrefix="0" xfId="0"/>
    <xf numFmtId="4" fontId="0" fillId="12" borderId="1" pivotButton="0" quotePrefix="0" xfId="0"/>
    <xf numFmtId="164" fontId="0" fillId="12" borderId="1" pivotButton="0" quotePrefix="0" xfId="0"/>
    <xf numFmtId="0" fontId="4" fillId="12" borderId="1" applyAlignment="1" pivotButton="0" quotePrefix="0" xfId="0">
      <alignment horizontal="center"/>
    </xf>
    <xf numFmtId="0" fontId="14" fillId="12" borderId="1" pivotButton="0" quotePrefix="0" xfId="0"/>
    <xf numFmtId="3" fontId="0" fillId="12" borderId="1" pivotButton="0" quotePrefix="0" xfId="0"/>
    <xf numFmtId="0" fontId="11" fillId="12" borderId="6" applyAlignment="1" pivotButton="0" quotePrefix="0" xfId="0">
      <alignment wrapText="1"/>
    </xf>
    <xf numFmtId="0" fontId="4" fillId="13" borderId="5" pivotButton="0" quotePrefix="0" xfId="0"/>
    <xf numFmtId="0" fontId="0" fillId="13" borderId="1" pivotButton="0" quotePrefix="0" xfId="0"/>
    <xf numFmtId="4" fontId="0" fillId="13" borderId="1" pivotButton="0" quotePrefix="0" xfId="0"/>
    <xf numFmtId="164" fontId="0" fillId="13" borderId="1" pivotButton="0" quotePrefix="0" xfId="0"/>
    <xf numFmtId="0" fontId="4" fillId="13" borderId="1" applyAlignment="1" pivotButton="0" quotePrefix="0" xfId="0">
      <alignment horizontal="center"/>
    </xf>
    <xf numFmtId="0" fontId="14" fillId="13" borderId="1" pivotButton="0" quotePrefix="0" xfId="0"/>
    <xf numFmtId="3" fontId="0" fillId="13" borderId="1" pivotButton="0" quotePrefix="0" xfId="0"/>
    <xf numFmtId="0" fontId="11" fillId="13" borderId="6" applyAlignment="1" pivotButton="0" quotePrefix="0" xfId="0">
      <alignment wrapText="1"/>
    </xf>
    <xf numFmtId="0" fontId="4" fillId="14" borderId="5" pivotButton="0" quotePrefix="0" xfId="0"/>
    <xf numFmtId="0" fontId="0" fillId="14" borderId="1" pivotButton="0" quotePrefix="0" xfId="0"/>
    <xf numFmtId="4" fontId="0" fillId="14" borderId="1" pivotButton="0" quotePrefix="0" xfId="0"/>
    <xf numFmtId="164" fontId="0" fillId="14" borderId="1" pivotButton="0" quotePrefix="0" xfId="0"/>
    <xf numFmtId="0" fontId="4" fillId="14" borderId="1" applyAlignment="1" pivotButton="0" quotePrefix="0" xfId="0">
      <alignment horizontal="center"/>
    </xf>
    <xf numFmtId="0" fontId="15" fillId="14" borderId="1" pivotButton="0" quotePrefix="0" xfId="0"/>
    <xf numFmtId="3" fontId="0" fillId="14" borderId="1" pivotButton="0" quotePrefix="0" xfId="0"/>
    <xf numFmtId="0" fontId="11" fillId="14" borderId="6" applyAlignment="1" pivotButton="0" quotePrefix="0" xfId="0">
      <alignment wrapText="1"/>
    </xf>
    <xf numFmtId="0" fontId="4" fillId="13" borderId="7" pivotButton="0" quotePrefix="0" xfId="0"/>
    <xf numFmtId="0" fontId="0" fillId="13" borderId="8" pivotButton="0" quotePrefix="0" xfId="0"/>
    <xf numFmtId="4" fontId="0" fillId="13" borderId="8" pivotButton="0" quotePrefix="0" xfId="0"/>
    <xf numFmtId="164" fontId="0" fillId="13" borderId="8" pivotButton="0" quotePrefix="0" xfId="0"/>
    <xf numFmtId="0" fontId="4" fillId="13" borderId="8" applyAlignment="1" pivotButton="0" quotePrefix="0" xfId="0">
      <alignment horizontal="center"/>
    </xf>
    <xf numFmtId="0" fontId="15" fillId="13" borderId="8" pivotButton="0" quotePrefix="0" xfId="0"/>
    <xf numFmtId="3" fontId="0" fillId="13" borderId="8" pivotButton="0" quotePrefix="0" xfId="0"/>
    <xf numFmtId="0" fontId="4" fillId="11" borderId="8" applyAlignment="1" pivotButton="0" quotePrefix="0" xfId="0">
      <alignment horizontal="center"/>
    </xf>
    <xf numFmtId="0" fontId="4" fillId="9" borderId="8" applyAlignment="1" pivotButton="0" quotePrefix="0" xfId="0">
      <alignment horizontal="center"/>
    </xf>
    <xf numFmtId="0" fontId="11" fillId="13" borderId="9" applyAlignment="1" pivotButton="0" quotePrefix="0" xfId="0">
      <alignment wrapText="1"/>
    </xf>
    <xf numFmtId="0" fontId="16" fillId="0" borderId="17" pivotButton="0" quotePrefix="0" xfId="0"/>
    <xf numFmtId="0" fontId="17" fillId="0" borderId="0" applyAlignment="1" pivotButton="0" quotePrefix="0" xfId="0">
      <alignment vertical="center" wrapText="1"/>
    </xf>
    <xf numFmtId="0" fontId="0" fillId="7" borderId="18" pivotButton="0" quotePrefix="0" xfId="0"/>
    <xf numFmtId="0" fontId="0" fillId="8" borderId="18" pivotButton="0" quotePrefix="0" xfId="0"/>
    <xf numFmtId="0" fontId="0" fillId="10" borderId="18" pivotButton="0" quotePrefix="0" xfId="0"/>
    <xf numFmtId="0" fontId="0" fillId="12" borderId="18" pivotButton="0" quotePrefix="0" xfId="0"/>
    <xf numFmtId="0" fontId="0" fillId="13" borderId="18" pivotButton="0" quotePrefix="0" xfId="0"/>
    <xf numFmtId="0" fontId="0" fillId="14" borderId="19" pivotButton="0" quotePrefix="0" xfId="0"/>
    <xf numFmtId="0" fontId="9" fillId="2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8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3" fillId="3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left" vertical="center"/>
    </xf>
    <xf numFmtId="0" fontId="0" fillId="0" borderId="5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3" fillId="15" borderId="6" applyAlignment="1" pivotButton="0" quotePrefix="0" xfId="0">
      <alignment horizontal="center" vertical="center"/>
    </xf>
    <xf numFmtId="0" fontId="3" fillId="16" borderId="6" applyAlignment="1" pivotButton="0" quotePrefix="0" xfId="0">
      <alignment horizontal="center" vertical="center"/>
    </xf>
    <xf numFmtId="0" fontId="3" fillId="17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pivotButton="0" quotePrefix="0" xfId="0"/>
    <xf numFmtId="164" fontId="3" fillId="2" borderId="8" applyAlignment="1" pivotButton="0" quotePrefix="0" xfId="0">
      <alignment horizontal="center" vertical="center"/>
    </xf>
    <xf numFmtId="0" fontId="19" fillId="2" borderId="8" pivotButton="0" quotePrefix="0" xfId="0"/>
    <xf numFmtId="0" fontId="19" fillId="2" borderId="9" pivotButton="0" quotePrefix="0" xfId="0"/>
    <xf numFmtId="0" fontId="20" fillId="0" borderId="0" applyAlignment="1" pivotButton="0" quotePrefix="0" xfId="0">
      <alignment horizontal="left" vertical="center" wrapText="1"/>
    </xf>
    <xf numFmtId="0" fontId="9" fillId="2" borderId="3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5" pivotButton="0" quotePrefix="0" xfId="0"/>
    <xf numFmtId="0" fontId="18" fillId="3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18" borderId="5" applyAlignment="1" pivotButton="0" quotePrefix="0" xfId="0">
      <alignment wrapText="1"/>
    </xf>
    <xf numFmtId="0" fontId="0" fillId="18" borderId="1" applyAlignment="1" pivotButton="0" quotePrefix="0" xfId="0">
      <alignment vertical="top"/>
    </xf>
    <xf numFmtId="3" fontId="0" fillId="18" borderId="1" applyAlignment="1" pivotButton="0" quotePrefix="0" xfId="0">
      <alignment horizontal="center"/>
    </xf>
    <xf numFmtId="164" fontId="0" fillId="18" borderId="1" applyAlignment="1" pivotButton="0" quotePrefix="0" xfId="0">
      <alignment vertical="top"/>
    </xf>
    <xf numFmtId="0" fontId="0" fillId="18" borderId="1" applyAlignment="1" pivotButton="0" quotePrefix="0" xfId="0">
      <alignment horizontal="center"/>
    </xf>
    <xf numFmtId="0" fontId="0" fillId="18" borderId="6" applyAlignment="1" pivotButton="0" quotePrefix="0" xfId="0">
      <alignment wrapText="1"/>
    </xf>
    <xf numFmtId="0" fontId="0" fillId="19" borderId="5" applyAlignment="1" pivotButton="0" quotePrefix="0" xfId="0">
      <alignment wrapText="1"/>
    </xf>
    <xf numFmtId="0" fontId="0" fillId="19" borderId="1" applyAlignment="1" pivotButton="0" quotePrefix="0" xfId="0">
      <alignment vertical="top"/>
    </xf>
    <xf numFmtId="3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vertical="top"/>
    </xf>
    <xf numFmtId="0" fontId="0" fillId="19" borderId="1" applyAlignment="1" pivotButton="0" quotePrefix="0" xfId="0">
      <alignment horizontal="center"/>
    </xf>
    <xf numFmtId="0" fontId="0" fillId="19" borderId="6" applyAlignment="1" pivotButton="0" quotePrefix="0" xfId="0">
      <alignment wrapText="1"/>
    </xf>
    <xf numFmtId="164" fontId="3" fillId="2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20" customWidth="1" min="4" max="4"/>
    <col width="28" customWidth="1" min="5" max="5"/>
    <col width="55" customWidth="1" min="6" max="6"/>
  </cols>
  <sheetData>
    <row r="1" ht="36" customHeight="1">
      <c r="A1" s="1" t="inlineStr">
        <is>
          <t>MORPHOGENESIS — Custom CoreXY 3D Printer Build</t>
        </is>
      </c>
    </row>
    <row r="2" ht="18" customHeight="1">
      <c r="A2" s="2" t="inlineStr">
        <is>
          <t>Sean | Whitehorse, YT, Canada  ·  All prices in CAD  ·  Generated: 2026-05-15</t>
        </is>
      </c>
    </row>
    <row r="3"/>
    <row r="4">
      <c r="A4" s="3" t="inlineStr">
        <is>
          <t>Section</t>
        </is>
      </c>
      <c r="B4" s="4" t="inlineStr">
        <is>
          <t>Description</t>
        </is>
      </c>
      <c r="C4" s="4" t="inlineStr">
        <is>
          <t>Item Count</t>
        </is>
      </c>
      <c r="D4" s="5" t="inlineStr">
        <is>
          <t>Total Cost (CAD)</t>
        </is>
      </c>
    </row>
    <row r="5">
      <c r="A5" s="6" t="inlineStr">
        <is>
          <t>Hardware BOM</t>
        </is>
      </c>
      <c r="B5" s="7" t="inlineStr">
        <is>
          <t>Full build bill of materials — frame, motion, electronics, hotend, bed, wiring</t>
        </is>
      </c>
      <c r="C5" s="7" t="inlineStr">
        <is>
          <t>~150</t>
        </is>
      </c>
      <c r="D5" s="8">
        <f>'Hardware BOM'!F98</f>
        <v/>
      </c>
    </row>
    <row r="6">
      <c r="A6" s="6" t="inlineStr">
        <is>
          <t>CF Upgrade Kit</t>
        </is>
      </c>
      <c r="B6" s="7" t="inlineStr">
        <is>
          <t>Hardened nozzles, all-metal hotend path, dryer, sealed enclosure upgrades</t>
        </is>
      </c>
      <c r="C6" s="7" t="inlineStr">
        <is>
          <t>~20</t>
        </is>
      </c>
      <c r="D6" s="8">
        <f>'CF Upgrade Kit'!F42</f>
        <v/>
      </c>
    </row>
    <row r="7">
      <c r="A7" s="6" t="inlineStr">
        <is>
          <t>Supply Checklist</t>
        </is>
      </c>
      <c r="B7" s="7" t="inlineStr">
        <is>
          <t>Ongoing consumables, tools, spare parts, adhesion supplies, safety gear</t>
        </is>
      </c>
      <c r="C7" s="7" t="inlineStr">
        <is>
          <t>~45</t>
        </is>
      </c>
      <c r="D7" s="8">
        <f>'Supply Checklist'!E64</f>
        <v/>
      </c>
    </row>
    <row r="8">
      <c r="A8" s="9" t="inlineStr">
        <is>
          <t>GRAND TOTAL</t>
        </is>
      </c>
      <c r="B8" s="10" t="inlineStr">
        <is>
          <t>Complete Morphogenesis build investment (all sections)</t>
        </is>
      </c>
      <c r="C8" s="10" t="inlineStr"/>
      <c r="D8" s="161">
        <f>SUM(D5:D7)</f>
        <v/>
      </c>
    </row>
    <row r="9"/>
    <row r="10">
      <c r="A10" s="12" t="inlineStr">
        <is>
          <t>UPGRADE TIER UNLOCK TABLE</t>
        </is>
      </c>
    </row>
    <row r="11">
      <c r="A11" s="13" t="inlineStr">
        <is>
          <t>Tier</t>
        </is>
      </c>
      <c r="B11" s="14" t="inlineStr">
        <is>
          <t>Tier Name</t>
        </is>
      </c>
      <c r="C11" s="14" t="inlineStr">
        <is>
          <t>Key Upgrades Required</t>
        </is>
      </c>
      <c r="D11" s="14" t="inlineStr">
        <is>
          <t>Materials Unlocked</t>
        </is>
      </c>
      <c r="E11" s="14" t="inlineStr">
        <is>
          <t>Estimated Add-On Cost (CAD)</t>
        </is>
      </c>
      <c r="F11" s="15" t="inlineStr">
        <is>
          <t>Notes</t>
        </is>
      </c>
    </row>
    <row r="12">
      <c r="A12" s="16" t="inlineStr">
        <is>
          <t>1</t>
        </is>
      </c>
      <c r="B12" s="17" t="inlineStr">
        <is>
          <t>Stock Build</t>
        </is>
      </c>
      <c r="C12" s="17" t="inlineStr">
        <is>
          <t>None — printer as built</t>
        </is>
      </c>
      <c r="D12" s="17" t="inlineStr">
        <is>
          <t>PLA, PLA+, PETG, TPU 95A</t>
        </is>
      </c>
      <c r="E12" s="17" t="inlineStr">
        <is>
          <t>$0</t>
        </is>
      </c>
      <c r="F12" s="18" t="inlineStr">
        <is>
          <t>Good for most hobby printing; enclosed helps with PETG.</t>
        </is>
      </c>
    </row>
    <row r="13">
      <c r="A13" s="19" t="inlineStr">
        <is>
          <t>2</t>
        </is>
      </c>
      <c r="B13" s="20" t="inlineStr">
        <is>
          <t>Hardened Nozzle</t>
        </is>
      </c>
      <c r="C13" s="20" t="inlineStr">
        <is>
          <t>Hardened steel 0.4mm nozzle(s)</t>
        </is>
      </c>
      <c r="D13" s="20" t="inlineStr">
        <is>
          <t>PLA-CF, PETG-CF, glow/abrasive PLAs</t>
        </is>
      </c>
      <c r="E13" s="20" t="inlineStr">
        <is>
          <t>~$30–60</t>
        </is>
      </c>
      <c r="F13" s="21" t="inlineStr">
        <is>
          <t>Single biggest upgrade for abrasive filaments.</t>
        </is>
      </c>
    </row>
    <row r="14">
      <c r="A14" s="16" t="inlineStr">
        <is>
          <t>3</t>
        </is>
      </c>
      <c r="B14" s="17" t="inlineStr">
        <is>
          <t>Sealed Enclosure</t>
        </is>
      </c>
      <c r="C14" s="17" t="inlineStr">
        <is>
          <t>Foam weatherstripping, sealed panels, exhaust fan + activated carbon filter</t>
        </is>
      </c>
      <c r="D14" s="17" t="inlineStr">
        <is>
          <t>ABS, ASA (fumes contained)</t>
        </is>
      </c>
      <c r="E14" s="17" t="inlineStr">
        <is>
          <t>~$50–100</t>
        </is>
      </c>
      <c r="F14" s="18" t="inlineStr">
        <is>
          <t>Required for ABS/ASA off-gassing control.</t>
        </is>
      </c>
    </row>
    <row r="15">
      <c r="A15" s="19" t="inlineStr">
        <is>
          <t>4</t>
        </is>
      </c>
      <c r="B15" s="20" t="inlineStr">
        <is>
          <t>Dryer + All-Metal Hotend</t>
        </is>
      </c>
      <c r="C15" s="20" t="inlineStr">
        <is>
          <t>Filament dryer (Sunlu S2/S4), bi-metal heat break, full metal hotend path</t>
        </is>
      </c>
      <c r="D15" s="20" t="inlineStr">
        <is>
          <t>Nylon PA12, Nylon PA12-CF, PAHT-CF</t>
        </is>
      </c>
      <c r="E15" s="20" t="inlineStr">
        <is>
          <t>~$100–200</t>
        </is>
      </c>
      <c r="F15" s="21" t="inlineStr">
        <is>
          <t>Dry filament + no PTFE in hot zone critical for Nylon.</t>
        </is>
      </c>
    </row>
    <row r="16">
      <c r="A16" s="16" t="inlineStr">
        <is>
          <t>5</t>
        </is>
      </c>
      <c r="B16" s="17" t="inlineStr">
        <is>
          <t>Heated Chamber</t>
        </is>
      </c>
      <c r="C16" s="17" t="inlineStr">
        <is>
          <t>PTC or silicone pad chamber heater + thermocouple + SSR, chamber temp 45–60°C</t>
        </is>
      </c>
      <c r="D16" s="17" t="inlineStr">
        <is>
          <t>PC (Polycarbonate), PC-CF</t>
        </is>
      </c>
      <c r="E16" s="17" t="inlineStr">
        <is>
          <t>~$80–150</t>
        </is>
      </c>
      <c r="F16" s="18" t="inlineStr">
        <is>
          <t>Chamber heat reduces PC warping dramatically.</t>
        </is>
      </c>
    </row>
    <row r="17">
      <c r="A17" s="22" t="inlineStr">
        <is>
          <t>6</t>
        </is>
      </c>
      <c r="B17" s="23" t="inlineStr">
        <is>
          <t>Industrial / Full Kit</t>
        </is>
      </c>
      <c r="C17" s="23" t="inlineStr">
        <is>
          <t>All tiers + Ruby or Nozzle X nozzle, Garolite bed surface, high-flow extruder</t>
        </is>
      </c>
      <c r="D17" s="23" t="inlineStr">
        <is>
          <t>All materials including high-temp industrial</t>
        </is>
      </c>
      <c r="E17" s="23" t="inlineStr">
        <is>
          <t>~$300–500 total add-on</t>
        </is>
      </c>
      <c r="F17" s="24" t="inlineStr">
        <is>
          <t>Top-spec build capable of any FDM material.</t>
        </is>
      </c>
    </row>
    <row r="18"/>
    <row r="19">
      <c r="A19" s="25" t="inlineStr">
        <is>
          <t>Section</t>
        </is>
      </c>
      <c r="B19" s="25" t="inlineStr">
        <is>
          <t>Cost (CAD)</t>
        </is>
      </c>
    </row>
    <row r="20">
      <c r="A20" s="17" t="inlineStr">
        <is>
          <t>Hardware BOM</t>
        </is>
      </c>
      <c r="B20" s="26">
        <f>'Hardware BOM'!F98</f>
        <v/>
      </c>
    </row>
    <row r="21">
      <c r="A21" s="17" t="inlineStr">
        <is>
          <t>CF Upgrade Kit</t>
        </is>
      </c>
      <c r="B21" s="26">
        <f>'CF Upgrade Kit'!F42</f>
        <v/>
      </c>
    </row>
    <row r="22">
      <c r="A22" s="17" t="inlineStr">
        <is>
          <t>Supply Checklist</t>
        </is>
      </c>
      <c r="B22" s="26">
        <f>'Supply Checklist'!E64</f>
        <v/>
      </c>
    </row>
  </sheetData>
  <mergeCells count="3">
    <mergeCell ref="A1:J1"/>
    <mergeCell ref="A10:J1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6" customWidth="1" min="3" max="3"/>
    <col width="16" customWidth="1" min="4" max="4"/>
    <col width="16" customWidth="1" min="5" max="5"/>
    <col width="16" customWidth="1" min="6" max="6"/>
    <col width="38" customWidth="1" min="7" max="7"/>
    <col width="45" customWidth="1" min="8" max="8"/>
  </cols>
  <sheetData>
    <row r="1" ht="30" customHeight="1">
      <c r="A1" s="27" t="inlineStr">
        <is>
          <t>MORPHOGENESIS — Hardware Bill of Materials</t>
        </is>
      </c>
    </row>
    <row r="2">
      <c r="A2" s="28" t="inlineStr">
        <is>
          <t>Full CoreXY enclosed printer build  ·  ~300×300mm build volume  ·  Klipper / BTT Octopus  ·  All prices CAD</t>
        </is>
      </c>
    </row>
    <row r="3" ht="28" customHeight="1">
      <c r="A3" s="29" t="inlineStr">
        <is>
          <t>Component Name</t>
        </is>
      </c>
      <c r="B3" s="30" t="inlineStr">
        <is>
          <t>Category</t>
        </is>
      </c>
      <c r="C3" s="30" t="inlineStr">
        <is>
          <t>Qty</t>
        </is>
      </c>
      <c r="D3" s="30" t="inlineStr">
        <is>
          <t>Unit Price (CAD)</t>
        </is>
      </c>
      <c r="E3" s="30" t="inlineStr">
        <is>
          <t>Total (CAD)</t>
        </is>
      </c>
      <c r="F3" s="30" t="inlineStr">
        <is>
          <t>Supplier</t>
        </is>
      </c>
      <c r="G3" s="30" t="inlineStr">
        <is>
          <t>Part # / Search Term</t>
        </is>
      </c>
      <c r="H3" s="31" t="inlineStr">
        <is>
          <t>Notes</t>
        </is>
      </c>
    </row>
    <row r="4">
      <c r="A4" s="32" t="inlineStr">
        <is>
          <t>MGN12H Linear Rail 300mm (X-axis)</t>
        </is>
      </c>
      <c r="B4" s="33" t="inlineStr">
        <is>
          <t>Motion System</t>
        </is>
      </c>
      <c r="C4" s="34" t="n">
        <v>1</v>
      </c>
      <c r="D4" s="35" t="n">
        <v>22.5</v>
      </c>
      <c r="E4" s="35">
        <f>C4*D4</f>
        <v/>
      </c>
      <c r="F4" s="33" t="inlineStr">
        <is>
          <t>AliExpress</t>
        </is>
      </c>
      <c r="G4" s="36" t="inlineStr">
        <is>
          <t>MGN12H linear rail 300mm</t>
        </is>
      </c>
      <c r="H4" s="37" t="inlineStr">
        <is>
          <t>Full length X carriage rail; get extra carriages</t>
        </is>
      </c>
    </row>
    <row r="5">
      <c r="A5" s="38" t="inlineStr">
        <is>
          <t>MGN12H Linear Rail 350mm (Y-axis L)</t>
        </is>
      </c>
      <c r="B5" s="39" t="inlineStr">
        <is>
          <t>Motion System</t>
        </is>
      </c>
      <c r="C5" s="40" t="n">
        <v>1</v>
      </c>
      <c r="D5" s="26" t="n">
        <v>24</v>
      </c>
      <c r="E5" s="26">
        <f>C5*D5</f>
        <v/>
      </c>
      <c r="F5" s="39" t="inlineStr">
        <is>
          <t>AliExpress</t>
        </is>
      </c>
      <c r="G5" s="41" t="inlineStr">
        <is>
          <t>MGN12H linear rail 350mm</t>
        </is>
      </c>
      <c r="H5" s="42" t="inlineStr">
        <is>
          <t>Left Y rail</t>
        </is>
      </c>
    </row>
    <row r="6">
      <c r="A6" s="32" t="inlineStr">
        <is>
          <t>MGN12H Linear Rail 350mm (Y-axis R)</t>
        </is>
      </c>
      <c r="B6" s="33" t="inlineStr">
        <is>
          <t>Motion System</t>
        </is>
      </c>
      <c r="C6" s="34" t="n">
        <v>1</v>
      </c>
      <c r="D6" s="35" t="n">
        <v>24</v>
      </c>
      <c r="E6" s="35">
        <f>C6*D6</f>
        <v/>
      </c>
      <c r="F6" s="33" t="inlineStr">
        <is>
          <t>AliExpress</t>
        </is>
      </c>
      <c r="G6" s="36" t="inlineStr">
        <is>
          <t>MGN12H linear rail 350mm</t>
        </is>
      </c>
      <c r="H6" s="37" t="inlineStr">
        <is>
          <t>Right Y rail</t>
        </is>
      </c>
    </row>
    <row r="7">
      <c r="A7" s="38" t="inlineStr">
        <is>
          <t>MGN9H Linear Rail 300mm (Z-axis)</t>
        </is>
      </c>
      <c r="B7" s="39" t="inlineStr">
        <is>
          <t>Motion System</t>
        </is>
      </c>
      <c r="C7" s="40" t="n">
        <v>3</v>
      </c>
      <c r="D7" s="26" t="n">
        <v>18</v>
      </c>
      <c r="E7" s="26">
        <f>C7*D7</f>
        <v/>
      </c>
      <c r="F7" s="39" t="inlineStr">
        <is>
          <t>AliExpress</t>
        </is>
      </c>
      <c r="G7" s="41" t="inlineStr">
        <is>
          <t>MGN9H linear rail 300mm</t>
        </is>
      </c>
      <c r="H7" s="42" t="inlineStr">
        <is>
          <t>3 rails for triple-Z or single Z</t>
        </is>
      </c>
    </row>
    <row r="8">
      <c r="A8" s="32" t="inlineStr">
        <is>
          <t>MGN12H Carriage Block (extra)</t>
        </is>
      </c>
      <c r="B8" s="33" t="inlineStr">
        <is>
          <t>Motion System</t>
        </is>
      </c>
      <c r="C8" s="34" t="n">
        <v>2</v>
      </c>
      <c r="D8" s="35" t="n">
        <v>8.5</v>
      </c>
      <c r="E8" s="35">
        <f>C8*D8</f>
        <v/>
      </c>
      <c r="F8" s="33" t="inlineStr">
        <is>
          <t>AliExpress</t>
        </is>
      </c>
      <c r="G8" s="36" t="inlineStr">
        <is>
          <t>MGN12H carriage block</t>
        </is>
      </c>
      <c r="H8" s="37" t="inlineStr">
        <is>
          <t>Spare carriage blocks</t>
        </is>
      </c>
    </row>
    <row r="9">
      <c r="A9" s="38" t="inlineStr">
        <is>
          <t>GT2 6mm Open-Loop Belt 5m</t>
        </is>
      </c>
      <c r="B9" s="39" t="inlineStr">
        <is>
          <t>Motion System</t>
        </is>
      </c>
      <c r="C9" s="40" t="n">
        <v>1</v>
      </c>
      <c r="D9" s="26" t="n">
        <v>14</v>
      </c>
      <c r="E9" s="26">
        <f>C9*D9</f>
        <v/>
      </c>
      <c r="F9" s="39" t="inlineStr">
        <is>
          <t>Amazon.ca</t>
        </is>
      </c>
      <c r="G9" s="41" t="inlineStr">
        <is>
          <t>GT2 6mm open loop belt 5m</t>
        </is>
      </c>
      <c r="H9" s="42" t="inlineStr">
        <is>
          <t>CoreXY XY motion belt</t>
        </is>
      </c>
    </row>
    <row r="10">
      <c r="A10" s="32" t="inlineStr">
        <is>
          <t>GT2 Idler Pulley 20T (toothed)</t>
        </is>
      </c>
      <c r="B10" s="33" t="inlineStr">
        <is>
          <t>Motion System</t>
        </is>
      </c>
      <c r="C10" s="34" t="n">
        <v>4</v>
      </c>
      <c r="D10" s="35" t="n">
        <v>3.5</v>
      </c>
      <c r="E10" s="35">
        <f>C10*D10</f>
        <v/>
      </c>
      <c r="F10" s="33" t="inlineStr">
        <is>
          <t>AliExpress</t>
        </is>
      </c>
      <c r="G10" s="36" t="inlineStr">
        <is>
          <t>GT2 20T toothed idler 5mm bore</t>
        </is>
      </c>
      <c r="H10" s="37" t="inlineStr">
        <is>
          <t>Toothed idlers at belt junctions</t>
        </is>
      </c>
    </row>
    <row r="11">
      <c r="A11" s="38" t="inlineStr">
        <is>
          <t>GT2 Idler Pulley 20T (smooth)</t>
        </is>
      </c>
      <c r="B11" s="39" t="inlineStr">
        <is>
          <t>Motion System</t>
        </is>
      </c>
      <c r="C11" s="40" t="n">
        <v>4</v>
      </c>
      <c r="D11" s="26" t="n">
        <v>3</v>
      </c>
      <c r="E11" s="26">
        <f>C11*D11</f>
        <v/>
      </c>
      <c r="F11" s="39" t="inlineStr">
        <is>
          <t>AliExpress</t>
        </is>
      </c>
      <c r="G11" s="41" t="inlineStr">
        <is>
          <t>GT2 20T smooth idler 5mm bore</t>
        </is>
      </c>
      <c r="H11" s="42" t="inlineStr">
        <is>
          <t>Smooth idlers for belt routing</t>
        </is>
      </c>
    </row>
    <row r="12">
      <c r="A12" s="32" t="inlineStr">
        <is>
          <t>GT2 Pulley 16T 5mm bore (motor)</t>
        </is>
      </c>
      <c r="B12" s="33" t="inlineStr">
        <is>
          <t>Motion System</t>
        </is>
      </c>
      <c r="C12" s="34" t="n">
        <v>2</v>
      </c>
      <c r="D12" s="35" t="n">
        <v>3.25</v>
      </c>
      <c r="E12" s="35">
        <f>C12*D12</f>
        <v/>
      </c>
      <c r="F12" s="33" t="inlineStr">
        <is>
          <t>AliExpress</t>
        </is>
      </c>
      <c r="G12" s="36" t="inlineStr">
        <is>
          <t>GT2 16T pulley 5mm bore</t>
        </is>
      </c>
      <c r="H12" s="37" t="inlineStr">
        <is>
          <t>Mounted on XY stepper shafts</t>
        </is>
      </c>
    </row>
    <row r="13">
      <c r="A13" s="38" t="inlineStr">
        <is>
          <t>Aluminum 2020 V-slot Extrusion 400mm</t>
        </is>
      </c>
      <c r="B13" s="39" t="inlineStr">
        <is>
          <t>Frame</t>
        </is>
      </c>
      <c r="C13" s="40" t="n">
        <v>4</v>
      </c>
      <c r="D13" s="26" t="n">
        <v>5.5</v>
      </c>
      <c r="E13" s="26">
        <f>C13*D13</f>
        <v/>
      </c>
      <c r="F13" s="39" t="inlineStr">
        <is>
          <t>Amazon.ca</t>
        </is>
      </c>
      <c r="G13" s="41" t="inlineStr">
        <is>
          <t>2020 V-slot aluminum extrusion 400mm</t>
        </is>
      </c>
      <c r="H13" s="42" t="inlineStr">
        <is>
          <t>Top/bottom frame members</t>
        </is>
      </c>
    </row>
    <row r="14">
      <c r="A14" s="32" t="inlineStr">
        <is>
          <t>Aluminum 2020 V-slot Extrusion 350mm</t>
        </is>
      </c>
      <c r="B14" s="33" t="inlineStr">
        <is>
          <t>Frame</t>
        </is>
      </c>
      <c r="C14" s="34" t="n">
        <v>4</v>
      </c>
      <c r="D14" s="35" t="n">
        <v>5</v>
      </c>
      <c r="E14" s="35">
        <f>C14*D14</f>
        <v/>
      </c>
      <c r="F14" s="33" t="inlineStr">
        <is>
          <t>Amazon.ca</t>
        </is>
      </c>
      <c r="G14" s="36" t="inlineStr">
        <is>
          <t>2020 V-slot aluminum extrusion 350mm</t>
        </is>
      </c>
      <c r="H14" s="37" t="inlineStr">
        <is>
          <t>Side verticals</t>
        </is>
      </c>
    </row>
    <row r="15">
      <c r="A15" s="38" t="inlineStr">
        <is>
          <t>Aluminum 2040 V-slot Extrusion 400mm</t>
        </is>
      </c>
      <c r="B15" s="39" t="inlineStr">
        <is>
          <t>Frame</t>
        </is>
      </c>
      <c r="C15" s="40" t="n">
        <v>2</v>
      </c>
      <c r="D15" s="26" t="n">
        <v>9</v>
      </c>
      <c r="E15" s="26">
        <f>C15*D15</f>
        <v/>
      </c>
      <c r="F15" s="39" t="inlineStr">
        <is>
          <t>Amazon.ca</t>
        </is>
      </c>
      <c r="G15" s="41" t="inlineStr">
        <is>
          <t>2040 V-slot aluminum extrusion 400mm</t>
        </is>
      </c>
      <c r="H15" s="42" t="inlineStr">
        <is>
          <t>Gantry cross members</t>
        </is>
      </c>
    </row>
    <row r="16">
      <c r="A16" s="32" t="inlineStr">
        <is>
          <t>Aluminum 2020 V-slot Extrusion 300mm</t>
        </is>
      </c>
      <c r="B16" s="33" t="inlineStr">
        <is>
          <t>Frame</t>
        </is>
      </c>
      <c r="C16" s="34" t="n">
        <v>4</v>
      </c>
      <c r="D16" s="35" t="n">
        <v>4.5</v>
      </c>
      <c r="E16" s="35">
        <f>C16*D16</f>
        <v/>
      </c>
      <c r="F16" s="33" t="inlineStr">
        <is>
          <t>Amazon.ca</t>
        </is>
      </c>
      <c r="G16" s="36" t="inlineStr">
        <is>
          <t>2020 V-slot aluminum extrusion 300mm</t>
        </is>
      </c>
      <c r="H16" s="37" t="inlineStr">
        <is>
          <t>Z column members</t>
        </is>
      </c>
    </row>
    <row r="17">
      <c r="A17" s="38" t="inlineStr">
        <is>
          <t>90-deg Corner Bracket 2020</t>
        </is>
      </c>
      <c r="B17" s="39" t="inlineStr">
        <is>
          <t>Frame</t>
        </is>
      </c>
      <c r="C17" s="40" t="n">
        <v>16</v>
      </c>
      <c r="D17" s="26" t="n">
        <v>1.25</v>
      </c>
      <c r="E17" s="26">
        <f>C17*D17</f>
        <v/>
      </c>
      <c r="F17" s="39" t="inlineStr">
        <is>
          <t>Amazon.ca</t>
        </is>
      </c>
      <c r="G17" s="41" t="inlineStr">
        <is>
          <t>2020 aluminum corner bracket</t>
        </is>
      </c>
      <c r="H17" s="42" t="inlineStr">
        <is>
          <t>Internal frame joints</t>
        </is>
      </c>
    </row>
    <row r="18">
      <c r="A18" s="32" t="inlineStr">
        <is>
          <t>T-Nut M3 Sliding (100 pack)</t>
        </is>
      </c>
      <c r="B18" s="33" t="inlineStr">
        <is>
          <t>Frame</t>
        </is>
      </c>
      <c r="C18" s="34" t="n">
        <v>2</v>
      </c>
      <c r="D18" s="35" t="n">
        <v>8</v>
      </c>
      <c r="E18" s="35">
        <f>C18*D18</f>
        <v/>
      </c>
      <c r="F18" s="33" t="inlineStr">
        <is>
          <t>Amazon.ca</t>
        </is>
      </c>
      <c r="G18" s="36" t="inlineStr">
        <is>
          <t>M3 T-nut sliding 2020 extrusion 100pk</t>
        </is>
      </c>
      <c r="H18" s="37" t="inlineStr">
        <is>
          <t>For all M3 frame fasteners</t>
        </is>
      </c>
    </row>
    <row r="19">
      <c r="A19" s="38" t="inlineStr">
        <is>
          <t>T-Nut M4 Sliding (50 pack)</t>
        </is>
      </c>
      <c r="B19" s="39" t="inlineStr">
        <is>
          <t>Frame</t>
        </is>
      </c>
      <c r="C19" s="40" t="n">
        <v>1</v>
      </c>
      <c r="D19" s="26" t="n">
        <v>6.5</v>
      </c>
      <c r="E19" s="26">
        <f>C19*D19</f>
        <v/>
      </c>
      <c r="F19" s="39" t="inlineStr">
        <is>
          <t>Amazon.ca</t>
        </is>
      </c>
      <c r="G19" s="41" t="inlineStr">
        <is>
          <t>M4 T-nut sliding 2020 extrusion 50pk</t>
        </is>
      </c>
      <c r="H19" s="42" t="inlineStr">
        <is>
          <t>For larger frame fasteners</t>
        </is>
      </c>
    </row>
    <row r="20">
      <c r="A20" s="32" t="inlineStr">
        <is>
          <t>T-Nut M5 Sliding (50 pack)</t>
        </is>
      </c>
      <c r="B20" s="33" t="inlineStr">
        <is>
          <t>Frame</t>
        </is>
      </c>
      <c r="C20" s="34" t="n">
        <v>1</v>
      </c>
      <c r="D20" s="35" t="n">
        <v>6.5</v>
      </c>
      <c r="E20" s="35">
        <f>C20*D20</f>
        <v/>
      </c>
      <c r="F20" s="33" t="inlineStr">
        <is>
          <t>Amazon.ca</t>
        </is>
      </c>
      <c r="G20" s="36" t="inlineStr">
        <is>
          <t>M5 T-nut sliding 2020 extrusion 50pk</t>
        </is>
      </c>
      <c r="H20" s="37" t="inlineStr">
        <is>
          <t>For rail mounting</t>
        </is>
      </c>
    </row>
    <row r="21">
      <c r="A21" s="38" t="inlineStr">
        <is>
          <t>Blind Joint Connector M6 (20 pack)</t>
        </is>
      </c>
      <c r="B21" s="39" t="inlineStr">
        <is>
          <t>Frame</t>
        </is>
      </c>
      <c r="C21" s="40" t="n">
        <v>1</v>
      </c>
      <c r="D21" s="26" t="n">
        <v>12</v>
      </c>
      <c r="E21" s="26">
        <f>C21*D21</f>
        <v/>
      </c>
      <c r="F21" s="39" t="inlineStr">
        <is>
          <t>Amazon.ca</t>
        </is>
      </c>
      <c r="G21" s="41" t="inlineStr">
        <is>
          <t>2020 extrusion blind joint connector</t>
        </is>
      </c>
      <c r="H21" s="42" t="inlineStr">
        <is>
          <t>Internal hidden joints</t>
        </is>
      </c>
    </row>
    <row r="22">
      <c r="A22" s="32" t="inlineStr">
        <is>
          <t>Adjustable Rubber Foot M5 (4 pack)</t>
        </is>
      </c>
      <c r="B22" s="33" t="inlineStr">
        <is>
          <t>Frame</t>
        </is>
      </c>
      <c r="C22" s="34" t="n">
        <v>1</v>
      </c>
      <c r="D22" s="35" t="n">
        <v>7</v>
      </c>
      <c r="E22" s="35">
        <f>C22*D22</f>
        <v/>
      </c>
      <c r="F22" s="33" t="inlineStr">
        <is>
          <t>Amazon.ca</t>
        </is>
      </c>
      <c r="G22" s="36" t="inlineStr">
        <is>
          <t>M5 adjustable rubber foot printer</t>
        </is>
      </c>
      <c r="H22" s="37" t="inlineStr">
        <is>
          <t>Anti-vibration leveling feet</t>
        </is>
      </c>
    </row>
    <row r="23">
      <c r="A23" s="38" t="inlineStr">
        <is>
          <t>NEMA 17 Stepper Motor 48Ncm (XY)</t>
        </is>
      </c>
      <c r="B23" s="39" t="inlineStr">
        <is>
          <t>Motors</t>
        </is>
      </c>
      <c r="C23" s="40" t="n">
        <v>2</v>
      </c>
      <c r="D23" s="26" t="n">
        <v>19</v>
      </c>
      <c r="E23" s="26">
        <f>C23*D23</f>
        <v/>
      </c>
      <c r="F23" s="39" t="inlineStr">
        <is>
          <t>Amazon.ca</t>
        </is>
      </c>
      <c r="G23" s="41" t="inlineStr">
        <is>
          <t>NEMA 17 stepper motor 48Ncm 17HS19-2004S1</t>
        </is>
      </c>
      <c r="H23" s="42" t="inlineStr">
        <is>
          <t>CoreXY XY drive motors</t>
        </is>
      </c>
    </row>
    <row r="24">
      <c r="A24" s="32" t="inlineStr">
        <is>
          <t>NEMA 17 Stepper Motor 40Ncm (Z)</t>
        </is>
      </c>
      <c r="B24" s="33" t="inlineStr">
        <is>
          <t>Motors</t>
        </is>
      </c>
      <c r="C24" s="34" t="n">
        <v>3</v>
      </c>
      <c r="D24" s="35" t="n">
        <v>16.5</v>
      </c>
      <c r="E24" s="35">
        <f>C24*D24</f>
        <v/>
      </c>
      <c r="F24" s="33" t="inlineStr">
        <is>
          <t>Amazon.ca</t>
        </is>
      </c>
      <c r="G24" s="36" t="inlineStr">
        <is>
          <t>NEMA 17 stepper motor 40Ncm 17HS16-2004S1</t>
        </is>
      </c>
      <c r="H24" s="37" t="inlineStr">
        <is>
          <t>Z-axis lift motors x3</t>
        </is>
      </c>
    </row>
    <row r="25">
      <c r="A25" s="38" t="inlineStr">
        <is>
          <t>NEMA 17 Stepper Motor 40Ncm (E)</t>
        </is>
      </c>
      <c r="B25" s="39" t="inlineStr">
        <is>
          <t>Motors</t>
        </is>
      </c>
      <c r="C25" s="40" t="n">
        <v>1</v>
      </c>
      <c r="D25" s="26" t="n">
        <v>16.5</v>
      </c>
      <c r="E25" s="26">
        <f>C25*D25</f>
        <v/>
      </c>
      <c r="F25" s="39" t="inlineStr">
        <is>
          <t>Amazon.ca</t>
        </is>
      </c>
      <c r="G25" s="41" t="inlineStr">
        <is>
          <t>NEMA 17 stepper motor 40Ncm extruder</t>
        </is>
      </c>
      <c r="H25" s="42" t="inlineStr">
        <is>
          <t>Extruder motor (if not integrated)</t>
        </is>
      </c>
    </row>
    <row r="26">
      <c r="A26" s="32" t="inlineStr">
        <is>
          <t>BTT Octopus V1.1 Controller Board</t>
        </is>
      </c>
      <c r="B26" s="33" t="inlineStr">
        <is>
          <t>Electronics</t>
        </is>
      </c>
      <c r="C26" s="34" t="n">
        <v>1</v>
      </c>
      <c r="D26" s="35" t="n">
        <v>82</v>
      </c>
      <c r="E26" s="35">
        <f>C26*D26</f>
        <v/>
      </c>
      <c r="F26" s="33" t="inlineStr">
        <is>
          <t>Amazon.ca</t>
        </is>
      </c>
      <c r="G26" s="36" t="inlineStr">
        <is>
          <t>BTT Octopus V1.1 32-bit board</t>
        </is>
      </c>
      <c r="H26" s="37" t="inlineStr">
        <is>
          <t>8-driver 32-bit Klipper-ready board</t>
        </is>
      </c>
    </row>
    <row r="27">
      <c r="A27" s="38" t="inlineStr">
        <is>
          <t>TMC2209 Stepper Driver (5 pack)</t>
        </is>
      </c>
      <c r="B27" s="39" t="inlineStr">
        <is>
          <t>Electronics</t>
        </is>
      </c>
      <c r="C27" s="40" t="n">
        <v>1</v>
      </c>
      <c r="D27" s="26" t="n">
        <v>52</v>
      </c>
      <c r="E27" s="26">
        <f>C27*D27</f>
        <v/>
      </c>
      <c r="F27" s="39" t="inlineStr">
        <is>
          <t>Amazon.ca</t>
        </is>
      </c>
      <c r="G27" s="41" t="inlineStr">
        <is>
          <t>TMC2209 stepper driver UART 5 pack</t>
        </is>
      </c>
      <c r="H27" s="42" t="inlineStr">
        <is>
          <t>Silent Klipper-compatible drivers; 1 per axis + E</t>
        </is>
      </c>
    </row>
    <row r="28">
      <c r="A28" s="32" t="inlineStr">
        <is>
          <t>Raspberry Pi 4 Model B 2GB</t>
        </is>
      </c>
      <c r="B28" s="33" t="inlineStr">
        <is>
          <t>Electronics</t>
        </is>
      </c>
      <c r="C28" s="34" t="n">
        <v>1</v>
      </c>
      <c r="D28" s="35" t="n">
        <v>89</v>
      </c>
      <c r="E28" s="35">
        <f>C28*D28</f>
        <v/>
      </c>
      <c r="F28" s="33" t="inlineStr">
        <is>
          <t>Amazon.ca</t>
        </is>
      </c>
      <c r="G28" s="36" t="inlineStr">
        <is>
          <t>Raspberry Pi 4 2GB</t>
        </is>
      </c>
      <c r="H28" s="37" t="inlineStr">
        <is>
          <t>Klipper host SBC</t>
        </is>
      </c>
    </row>
    <row r="29">
      <c r="A29" s="38" t="inlineStr">
        <is>
          <t>MicroSD Card 32GB (Samsung/SanDisk)</t>
        </is>
      </c>
      <c r="B29" s="39" t="inlineStr">
        <is>
          <t>Electronics</t>
        </is>
      </c>
      <c r="C29" s="40" t="n">
        <v>1</v>
      </c>
      <c r="D29" s="26" t="n">
        <v>12</v>
      </c>
      <c r="E29" s="26">
        <f>C29*D29</f>
        <v/>
      </c>
      <c r="F29" s="39" t="inlineStr">
        <is>
          <t>Amazon.ca</t>
        </is>
      </c>
      <c r="G29" s="41" t="inlineStr">
        <is>
          <t>Samsung 32GB microSD class 10</t>
        </is>
      </c>
      <c r="H29" s="42" t="inlineStr">
        <is>
          <t>Pre-flash Klipper image</t>
        </is>
      </c>
    </row>
    <row r="30">
      <c r="A30" s="32" t="inlineStr">
        <is>
          <t>24V 350W PSU (Mean Well LRS-350-24)</t>
        </is>
      </c>
      <c r="B30" s="33" t="inlineStr">
        <is>
          <t>Electronics</t>
        </is>
      </c>
      <c r="C30" s="34" t="n">
        <v>1</v>
      </c>
      <c r="D30" s="35" t="n">
        <v>55</v>
      </c>
      <c r="E30" s="35">
        <f>C30*D30</f>
        <v/>
      </c>
      <c r="F30" s="33" t="inlineStr">
        <is>
          <t>Amazon.ca</t>
        </is>
      </c>
      <c r="G30" s="36" t="inlineStr">
        <is>
          <t>Mean Well LRS-350-24 power supply</t>
        </is>
      </c>
      <c r="H30" s="37" t="inlineStr">
        <is>
          <t>Main printer 24V rail</t>
        </is>
      </c>
    </row>
    <row r="31">
      <c r="A31" s="38" t="inlineStr">
        <is>
          <t>Solid State Relay 25A (SSR-25DA)</t>
        </is>
      </c>
      <c r="B31" s="39" t="inlineStr">
        <is>
          <t>Electronics</t>
        </is>
      </c>
      <c r="C31" s="40" t="n">
        <v>1</v>
      </c>
      <c r="D31" s="26" t="n">
        <v>14</v>
      </c>
      <c r="E31" s="26">
        <f>C31*D31</f>
        <v/>
      </c>
      <c r="F31" s="39" t="inlineStr">
        <is>
          <t>Amazon.ca</t>
        </is>
      </c>
      <c r="G31" s="41" t="inlineStr">
        <is>
          <t>SSR-25DA solid state relay 25A</t>
        </is>
      </c>
      <c r="H31" s="42" t="inlineStr">
        <is>
          <t>AC bed heater switching</t>
        </is>
      </c>
    </row>
    <row r="32">
      <c r="A32" s="32" t="inlineStr">
        <is>
          <t>MOSFET Board (HICTOP or similar)</t>
        </is>
      </c>
      <c r="B32" s="33" t="inlineStr">
        <is>
          <t>Electronics</t>
        </is>
      </c>
      <c r="C32" s="34" t="n">
        <v>1</v>
      </c>
      <c r="D32" s="35" t="n">
        <v>9</v>
      </c>
      <c r="E32" s="35">
        <f>C32*D32</f>
        <v/>
      </c>
      <c r="F32" s="33" t="inlineStr">
        <is>
          <t>Amazon.ca</t>
        </is>
      </c>
      <c r="G32" s="36" t="inlineStr">
        <is>
          <t>3D printer MOSFET board heated bed</t>
        </is>
      </c>
      <c r="H32" s="37" t="inlineStr">
        <is>
          <t>Optional for DC bed</t>
        </is>
      </c>
    </row>
    <row r="33">
      <c r="A33" s="38" t="inlineStr">
        <is>
          <t>WAGO 221-413 3-wire Connectors (50pk)</t>
        </is>
      </c>
      <c r="B33" s="39" t="inlineStr">
        <is>
          <t>Electronics</t>
        </is>
      </c>
      <c r="C33" s="40" t="n">
        <v>1</v>
      </c>
      <c r="D33" s="26" t="n">
        <v>22</v>
      </c>
      <c r="E33" s="26">
        <f>C33*D33</f>
        <v/>
      </c>
      <c r="F33" s="39" t="inlineStr">
        <is>
          <t>Amazon.ca</t>
        </is>
      </c>
      <c r="G33" s="41" t="inlineStr">
        <is>
          <t>WAGO 221-413 lever connector 50 pack</t>
        </is>
      </c>
      <c r="H33" s="42" t="inlineStr">
        <is>
          <t>Quick-splice wiring junctions</t>
        </is>
      </c>
    </row>
    <row r="34">
      <c r="A34" s="32" t="inlineStr">
        <is>
          <t>Ferrule Crimper Kit + 500 ferrules</t>
        </is>
      </c>
      <c r="B34" s="33" t="inlineStr">
        <is>
          <t>Electronics</t>
        </is>
      </c>
      <c r="C34" s="34" t="n">
        <v>1</v>
      </c>
      <c r="D34" s="35" t="n">
        <v>28</v>
      </c>
      <c r="E34" s="35">
        <f>C34*D34</f>
        <v/>
      </c>
      <c r="F34" s="33" t="inlineStr">
        <is>
          <t>Amazon.ca</t>
        </is>
      </c>
      <c r="G34" s="36" t="inlineStr">
        <is>
          <t>ferrule crimper kit AWG 24-10</t>
        </is>
      </c>
      <c r="H34" s="37" t="inlineStr">
        <is>
          <t>For all stranded wire terminations</t>
        </is>
      </c>
    </row>
    <row r="35">
      <c r="A35" s="38" t="inlineStr">
        <is>
          <t>DIN Terminal Block 12P (2 pack)</t>
        </is>
      </c>
      <c r="B35" s="39" t="inlineStr">
        <is>
          <t>Electronics</t>
        </is>
      </c>
      <c r="C35" s="40" t="n">
        <v>1</v>
      </c>
      <c r="D35" s="26" t="n">
        <v>11</v>
      </c>
      <c r="E35" s="26">
        <f>C35*D35</f>
        <v/>
      </c>
      <c r="F35" s="39" t="inlineStr">
        <is>
          <t>Amazon.ca</t>
        </is>
      </c>
      <c r="G35" s="41" t="inlineStr">
        <is>
          <t>DIN rail terminal block 12 position</t>
        </is>
      </c>
      <c r="H35" s="42" t="inlineStr">
        <is>
          <t>PSU and AC distribution</t>
        </is>
      </c>
    </row>
    <row r="36">
      <c r="A36" s="32" t="inlineStr">
        <is>
          <t>Cable Chain 10x10mm 1m</t>
        </is>
      </c>
      <c r="B36" s="33" t="inlineStr">
        <is>
          <t>Electronics</t>
        </is>
      </c>
      <c r="C36" s="34" t="n">
        <v>1</v>
      </c>
      <c r="D36" s="35" t="n">
        <v>16</v>
      </c>
      <c r="E36" s="35">
        <f>C36*D36</f>
        <v/>
      </c>
      <c r="F36" s="33" t="inlineStr">
        <is>
          <t>Amazon.ca</t>
        </is>
      </c>
      <c r="G36" s="36" t="inlineStr">
        <is>
          <t>cable drag chain 10x10mm 1m 3D printer</t>
        </is>
      </c>
      <c r="H36" s="37" t="inlineStr">
        <is>
          <t>Toolhead wiring management</t>
        </is>
      </c>
    </row>
    <row r="37">
      <c r="A37" s="38" t="inlineStr">
        <is>
          <t>Cable Chain 15x15mm 1m</t>
        </is>
      </c>
      <c r="B37" s="39" t="inlineStr">
        <is>
          <t>Electronics</t>
        </is>
      </c>
      <c r="C37" s="40" t="n">
        <v>1</v>
      </c>
      <c r="D37" s="26" t="n">
        <v>18</v>
      </c>
      <c r="E37" s="26">
        <f>C37*D37</f>
        <v/>
      </c>
      <c r="F37" s="39" t="inlineStr">
        <is>
          <t>Amazon.ca</t>
        </is>
      </c>
      <c r="G37" s="41" t="inlineStr">
        <is>
          <t>cable drag chain 15x15mm 1m 3D printer</t>
        </is>
      </c>
      <c r="H37" s="42" t="inlineStr">
        <is>
          <t>X/Y gantry wiring</t>
        </is>
      </c>
    </row>
    <row r="38">
      <c r="A38" s="32" t="inlineStr">
        <is>
          <t>Rapido HF Hotend (Phaetus)</t>
        </is>
      </c>
      <c r="B38" s="33" t="inlineStr">
        <is>
          <t>Hotend &amp; Extruder</t>
        </is>
      </c>
      <c r="C38" s="34" t="n">
        <v>1</v>
      </c>
      <c r="D38" s="35" t="n">
        <v>95</v>
      </c>
      <c r="E38" s="35">
        <f>C38*D38</f>
        <v/>
      </c>
      <c r="F38" s="33" t="inlineStr">
        <is>
          <t>Amazon.ca</t>
        </is>
      </c>
      <c r="G38" s="36" t="inlineStr">
        <is>
          <t>Phaetus Rapido HF hotend</t>
        </is>
      </c>
      <c r="H38" s="37" t="inlineStr">
        <is>
          <t>High-flow hotend for fast printing</t>
        </is>
      </c>
    </row>
    <row r="39">
      <c r="A39" s="38" t="inlineStr">
        <is>
          <t>Orbiter v2.0 Direct Drive Extruder</t>
        </is>
      </c>
      <c r="B39" s="39" t="inlineStr">
        <is>
          <t>Hotend &amp; Extruder</t>
        </is>
      </c>
      <c r="C39" s="40" t="n">
        <v>1</v>
      </c>
      <c r="D39" s="26" t="n">
        <v>72</v>
      </c>
      <c r="E39" s="26">
        <f>C39*D39</f>
        <v/>
      </c>
      <c r="F39" s="39" t="inlineStr">
        <is>
          <t>Amazon.ca</t>
        </is>
      </c>
      <c r="G39" s="41" t="inlineStr">
        <is>
          <t>Orbiter v2 extruder LDO</t>
        </is>
      </c>
      <c r="H39" s="42" t="inlineStr">
        <is>
          <t>Lightweight DD extruder; pairs w/ Rapido</t>
        </is>
      </c>
    </row>
    <row r="40">
      <c r="A40" s="32" t="inlineStr">
        <is>
          <t>Bi-Metal Heat Break (Slice Copperhead)</t>
        </is>
      </c>
      <c r="B40" s="33" t="inlineStr">
        <is>
          <t>Hotend &amp; Extruder</t>
        </is>
      </c>
      <c r="C40" s="34" t="n">
        <v>1</v>
      </c>
      <c r="D40" s="35" t="n">
        <v>38</v>
      </c>
      <c r="E40" s="35">
        <f>C40*D40</f>
        <v/>
      </c>
      <c r="F40" s="33" t="inlineStr">
        <is>
          <t>Amazon.ca</t>
        </is>
      </c>
      <c r="G40" s="36" t="inlineStr">
        <is>
          <t>Slice Engineering Copperhead heat break</t>
        </is>
      </c>
      <c r="H40" s="37" t="inlineStr">
        <is>
          <t>For all-metal path; required for CF/Nylon</t>
        </is>
      </c>
    </row>
    <row r="41">
      <c r="A41" s="38" t="inlineStr">
        <is>
          <t>Heater Cartridge 60W 24V 6×20mm</t>
        </is>
      </c>
      <c r="B41" s="39" t="inlineStr">
        <is>
          <t>Hotend &amp; Extruder</t>
        </is>
      </c>
      <c r="C41" s="40" t="n">
        <v>2</v>
      </c>
      <c r="D41" s="26" t="n">
        <v>7</v>
      </c>
      <c r="E41" s="26">
        <f>C41*D41</f>
        <v/>
      </c>
      <c r="F41" s="39" t="inlineStr">
        <is>
          <t>Amazon.ca</t>
        </is>
      </c>
      <c r="G41" s="41" t="inlineStr">
        <is>
          <t>60W 24V heater cartridge 6mm 20mm</t>
        </is>
      </c>
      <c r="H41" s="42" t="inlineStr">
        <is>
          <t>Primary + spare</t>
        </is>
      </c>
    </row>
    <row r="42">
      <c r="A42" s="32" t="inlineStr">
        <is>
          <t>PT1000 Thermistor Cartridge</t>
        </is>
      </c>
      <c r="B42" s="33" t="inlineStr">
        <is>
          <t>Hotend &amp; Extruder</t>
        </is>
      </c>
      <c r="C42" s="34" t="n">
        <v>2</v>
      </c>
      <c r="D42" s="35" t="n">
        <v>8.5</v>
      </c>
      <c r="E42" s="35">
        <f>C42*D42</f>
        <v/>
      </c>
      <c r="F42" s="33" t="inlineStr">
        <is>
          <t>Amazon.ca</t>
        </is>
      </c>
      <c r="G42" s="36" t="inlineStr">
        <is>
          <t>PT1000 thermistor cartridge 3D printer</t>
        </is>
      </c>
      <c r="H42" s="37" t="inlineStr">
        <is>
          <t>Primary + spare; required for Rapido</t>
        </is>
      </c>
    </row>
    <row r="43">
      <c r="A43" s="38" t="inlineStr">
        <is>
          <t>Silicone Sock for Rapido</t>
        </is>
      </c>
      <c r="B43" s="39" t="inlineStr">
        <is>
          <t>Hotend &amp; Extruder</t>
        </is>
      </c>
      <c r="C43" s="40" t="n">
        <v>3</v>
      </c>
      <c r="D43" s="26" t="n">
        <v>4</v>
      </c>
      <c r="E43" s="26">
        <f>C43*D43</f>
        <v/>
      </c>
      <c r="F43" s="39" t="inlineStr">
        <is>
          <t>AliExpress</t>
        </is>
      </c>
      <c r="G43" s="41" t="inlineStr">
        <is>
          <t>Rapido silicone sock hotend cover</t>
        </is>
      </c>
      <c r="H43" s="42" t="inlineStr">
        <is>
          <t>Thermal insulation of heat block</t>
        </is>
      </c>
    </row>
    <row r="44">
      <c r="A44" s="32" t="inlineStr">
        <is>
          <t>4010 Hotend Cooling Fan 24V</t>
        </is>
      </c>
      <c r="B44" s="33" t="inlineStr">
        <is>
          <t>Hotend &amp; Extruder</t>
        </is>
      </c>
      <c r="C44" s="34" t="n">
        <v>2</v>
      </c>
      <c r="D44" s="35" t="n">
        <v>9</v>
      </c>
      <c r="E44" s="35">
        <f>C44*D44</f>
        <v/>
      </c>
      <c r="F44" s="33" t="inlineStr">
        <is>
          <t>Amazon.ca</t>
        </is>
      </c>
      <c r="G44" s="36" t="inlineStr">
        <is>
          <t>4010 blower fan 24V hotend cooling</t>
        </is>
      </c>
      <c r="H44" s="37" t="inlineStr">
        <is>
          <t>Hotend heatsink fan; 1 spare</t>
        </is>
      </c>
    </row>
    <row r="45">
      <c r="A45" s="38" t="inlineStr">
        <is>
          <t>5015 Part Cooling Blower 24V (×2)</t>
        </is>
      </c>
      <c r="B45" s="39" t="inlineStr">
        <is>
          <t>Hotend &amp; Extruder</t>
        </is>
      </c>
      <c r="C45" s="40" t="n">
        <v>2</v>
      </c>
      <c r="D45" s="26" t="n">
        <v>11</v>
      </c>
      <c r="E45" s="26">
        <f>C45*D45</f>
        <v/>
      </c>
      <c r="F45" s="39" t="inlineStr">
        <is>
          <t>Amazon.ca</t>
        </is>
      </c>
      <c r="G45" s="41" t="inlineStr">
        <is>
          <t>5015 radial blower 24V part cooling</t>
        </is>
      </c>
      <c r="H45" s="42" t="inlineStr">
        <is>
          <t>Dual part cooling fans</t>
        </is>
      </c>
    </row>
    <row r="46">
      <c r="A46" s="32" t="inlineStr">
        <is>
          <t>Brass Nozzle 0.4mm MK8/V6 (10pk)</t>
        </is>
      </c>
      <c r="B46" s="33" t="inlineStr">
        <is>
          <t>Hotend &amp; Extruder</t>
        </is>
      </c>
      <c r="C46" s="34" t="n">
        <v>1</v>
      </c>
      <c r="D46" s="35" t="n">
        <v>10</v>
      </c>
      <c r="E46" s="35">
        <f>C46*D46</f>
        <v/>
      </c>
      <c r="F46" s="33" t="inlineStr">
        <is>
          <t>Amazon.ca</t>
        </is>
      </c>
      <c r="G46" s="36" t="inlineStr">
        <is>
          <t>brass nozzle 0.4mm V6 10 pack</t>
        </is>
      </c>
      <c r="H46" s="37" t="inlineStr">
        <is>
          <t>Standard nozzles for PLA/PETG</t>
        </is>
      </c>
    </row>
    <row r="47">
      <c r="A47" s="38" t="inlineStr">
        <is>
          <t>300×300mm Cast Aluminum Bed Plate 8mm</t>
        </is>
      </c>
      <c r="B47" s="39" t="inlineStr">
        <is>
          <t>Heated Bed</t>
        </is>
      </c>
      <c r="C47" s="40" t="n">
        <v>1</v>
      </c>
      <c r="D47" s="26" t="n">
        <v>68</v>
      </c>
      <c r="E47" s="26">
        <f>C47*D47</f>
        <v/>
      </c>
      <c r="F47" s="39" t="inlineStr">
        <is>
          <t>Amazon.ca</t>
        </is>
      </c>
      <c r="G47" s="41" t="inlineStr">
        <is>
          <t>300x300 cast aluminum bed plate 8mm</t>
        </is>
      </c>
      <c r="H47" s="42" t="inlineStr">
        <is>
          <t>Flat tooling-grade bed substrate</t>
        </is>
      </c>
    </row>
    <row r="48">
      <c r="A48" s="32" t="inlineStr">
        <is>
          <t>Silicone Bed Mounts M3 (4 pack)</t>
        </is>
      </c>
      <c r="B48" s="33" t="inlineStr">
        <is>
          <t>Heated Bed</t>
        </is>
      </c>
      <c r="C48" s="34" t="n">
        <v>1</v>
      </c>
      <c r="D48" s="35" t="n">
        <v>9</v>
      </c>
      <c r="E48" s="35">
        <f>C48*D48</f>
        <v/>
      </c>
      <c r="F48" s="33" t="inlineStr">
        <is>
          <t>Amazon.ca</t>
        </is>
      </c>
      <c r="G48" s="36" t="inlineStr">
        <is>
          <t>silicone bed mount leveling spacers M3</t>
        </is>
      </c>
      <c r="H48" s="37" t="inlineStr">
        <is>
          <t>Decouples bed thermal expansion</t>
        </is>
      </c>
    </row>
    <row r="49">
      <c r="A49" s="38" t="inlineStr">
        <is>
          <t>PEI Spring Steel Sheet Smooth 300×300</t>
        </is>
      </c>
      <c r="B49" s="39" t="inlineStr">
        <is>
          <t>Heated Bed</t>
        </is>
      </c>
      <c r="C49" s="40" t="n">
        <v>1</v>
      </c>
      <c r="D49" s="26" t="n">
        <v>36</v>
      </c>
      <c r="E49" s="26">
        <f>C49*D49</f>
        <v/>
      </c>
      <c r="F49" s="39" t="inlineStr">
        <is>
          <t>Amazon.ca</t>
        </is>
      </c>
      <c r="G49" s="41" t="inlineStr">
        <is>
          <t>PEI spring steel sheet smooth 300x300</t>
        </is>
      </c>
      <c r="H49" s="42" t="inlineStr">
        <is>
          <t>Primary smooth PEI surface</t>
        </is>
      </c>
    </row>
    <row r="50">
      <c r="A50" s="32" t="inlineStr">
        <is>
          <t>PEI Spring Steel Sheet Textured 300×300</t>
        </is>
      </c>
      <c r="B50" s="33" t="inlineStr">
        <is>
          <t>Heated Bed</t>
        </is>
      </c>
      <c r="C50" s="34" t="n">
        <v>1</v>
      </c>
      <c r="D50" s="35" t="n">
        <v>38</v>
      </c>
      <c r="E50" s="35">
        <f>C50*D50</f>
        <v/>
      </c>
      <c r="F50" s="33" t="inlineStr">
        <is>
          <t>Amazon.ca</t>
        </is>
      </c>
      <c r="G50" s="36" t="inlineStr">
        <is>
          <t>PEI spring steel sheet textured 300x300</t>
        </is>
      </c>
      <c r="H50" s="37" t="inlineStr">
        <is>
          <t>Textured for easy part removal</t>
        </is>
      </c>
    </row>
    <row r="51">
      <c r="A51" s="38" t="inlineStr">
        <is>
          <t>Silicone Bed Heater 300×300 220V 500W</t>
        </is>
      </c>
      <c r="B51" s="39" t="inlineStr">
        <is>
          <t>Heated Bed</t>
        </is>
      </c>
      <c r="C51" s="40" t="n">
        <v>1</v>
      </c>
      <c r="D51" s="26" t="n">
        <v>42</v>
      </c>
      <c r="E51" s="26">
        <f>C51*D51</f>
        <v/>
      </c>
      <c r="F51" s="39" t="inlineStr">
        <is>
          <t>Amazon.ca</t>
        </is>
      </c>
      <c r="G51" s="41" t="inlineStr">
        <is>
          <t>silicone heater 300x300 220V 500W keenovo</t>
        </is>
      </c>
      <c r="H51" s="42" t="inlineStr">
        <is>
          <t>AC bed heater; fast heat-up</t>
        </is>
      </c>
    </row>
    <row r="52">
      <c r="A52" s="32" t="inlineStr">
        <is>
          <t>Thermal Fuse 10A 125°C</t>
        </is>
      </c>
      <c r="B52" s="33" t="inlineStr">
        <is>
          <t>Heated Bed</t>
        </is>
      </c>
      <c r="C52" s="34" t="n">
        <v>2</v>
      </c>
      <c r="D52" s="35" t="n">
        <v>3.5</v>
      </c>
      <c r="E52" s="35">
        <f>C52*D52</f>
        <v/>
      </c>
      <c r="F52" s="33" t="inlineStr">
        <is>
          <t>Amazon.ca</t>
        </is>
      </c>
      <c r="G52" s="36" t="inlineStr">
        <is>
          <t>thermal fuse 10A 125C bed safety</t>
        </is>
      </c>
      <c r="H52" s="37" t="inlineStr">
        <is>
          <t>Bed thermal runaway protection</t>
        </is>
      </c>
    </row>
    <row r="53">
      <c r="A53" s="38" t="inlineStr">
        <is>
          <t>T8 Lead Screw 8mm 400mm + Nut</t>
        </is>
      </c>
      <c r="B53" s="39" t="inlineStr">
        <is>
          <t>Z Axis</t>
        </is>
      </c>
      <c r="C53" s="40" t="n">
        <v>3</v>
      </c>
      <c r="D53" s="26" t="n">
        <v>14</v>
      </c>
      <c r="E53" s="26">
        <f>C53*D53</f>
        <v/>
      </c>
      <c r="F53" s="39" t="inlineStr">
        <is>
          <t>Amazon.ca</t>
        </is>
      </c>
      <c r="G53" s="41" t="inlineStr">
        <is>
          <t>T8 lead screw 8mm 400mm anti-backlash nut</t>
        </is>
      </c>
      <c r="H53" s="42" t="inlineStr">
        <is>
          <t>Z-axis linear actuation</t>
        </is>
      </c>
    </row>
    <row r="54">
      <c r="A54" s="32" t="inlineStr">
        <is>
          <t>Anti-Backlash Nut T8 POM</t>
        </is>
      </c>
      <c r="B54" s="33" t="inlineStr">
        <is>
          <t>Z Axis</t>
        </is>
      </c>
      <c r="C54" s="34" t="n">
        <v>3</v>
      </c>
      <c r="D54" s="35" t="n">
        <v>5.5</v>
      </c>
      <c r="E54" s="35">
        <f>C54*D54</f>
        <v/>
      </c>
      <c r="F54" s="33" t="inlineStr">
        <is>
          <t>Amazon.ca</t>
        </is>
      </c>
      <c r="G54" s="36" t="inlineStr">
        <is>
          <t>T8 anti-backlash nut POM spring-loaded</t>
        </is>
      </c>
      <c r="H54" s="37" t="inlineStr">
        <is>
          <t>Eliminates Z wobble backlash</t>
        </is>
      </c>
    </row>
    <row r="55">
      <c r="A55" s="38" t="inlineStr">
        <is>
          <t>Flexible Shaft Coupler 5×8mm</t>
        </is>
      </c>
      <c r="B55" s="39" t="inlineStr">
        <is>
          <t>Z Axis</t>
        </is>
      </c>
      <c r="C55" s="40" t="n">
        <v>3</v>
      </c>
      <c r="D55" s="26" t="n">
        <v>4.5</v>
      </c>
      <c r="E55" s="26">
        <f>C55*D55</f>
        <v/>
      </c>
      <c r="F55" s="39" t="inlineStr">
        <is>
          <t>Amazon.ca</t>
        </is>
      </c>
      <c r="G55" s="41" t="inlineStr">
        <is>
          <t>flexible shaft coupler 5mm 8mm spider</t>
        </is>
      </c>
      <c r="H55" s="42" t="inlineStr">
        <is>
          <t>Motor to lead screw coupling</t>
        </is>
      </c>
    </row>
    <row r="56">
      <c r="A56" s="32" t="inlineStr">
        <is>
          <t>CR Touch Auto Bed Leveling Probe</t>
        </is>
      </c>
      <c r="B56" s="33" t="inlineStr">
        <is>
          <t>Probe &amp; Leveling</t>
        </is>
      </c>
      <c r="C56" s="34" t="n">
        <v>1</v>
      </c>
      <c r="D56" s="35" t="n">
        <v>42</v>
      </c>
      <c r="E56" s="35">
        <f>C56*D56</f>
        <v/>
      </c>
      <c r="F56" s="33" t="inlineStr">
        <is>
          <t>Amazon.ca</t>
        </is>
      </c>
      <c r="G56" s="36" t="inlineStr">
        <is>
          <t>Creality CR Touch auto bed leveling probe</t>
        </is>
      </c>
      <c r="H56" s="37" t="inlineStr">
        <is>
          <t>Reliable inductive-style probe; Klipper native</t>
        </is>
      </c>
    </row>
    <row r="57">
      <c r="A57" s="38" t="inlineStr">
        <is>
          <t>Probe Mount Bracket (printed/aluminum)</t>
        </is>
      </c>
      <c r="B57" s="39" t="inlineStr">
        <is>
          <t>Probe &amp; Leveling</t>
        </is>
      </c>
      <c r="C57" s="40" t="n">
        <v>1</v>
      </c>
      <c r="D57" s="26" t="n">
        <v>5</v>
      </c>
      <c r="E57" s="26">
        <f>C57*D57</f>
        <v/>
      </c>
      <c r="F57" s="39" t="inlineStr">
        <is>
          <t>AliExpress</t>
        </is>
      </c>
      <c r="G57" s="41" t="inlineStr">
        <is>
          <t>CR Touch probe mount bracket toolhead</t>
        </is>
      </c>
      <c r="H57" s="42" t="inlineStr">
        <is>
          <t>Printed or aluminum bracket</t>
        </is>
      </c>
    </row>
    <row r="58">
      <c r="A58" s="32" t="inlineStr">
        <is>
          <t>DIN Rail 35mm 500mm (×2)</t>
        </is>
      </c>
      <c r="B58" s="33" t="inlineStr">
        <is>
          <t>Electronics Enclosure</t>
        </is>
      </c>
      <c r="C58" s="34" t="n">
        <v>2</v>
      </c>
      <c r="D58" s="35" t="n">
        <v>8</v>
      </c>
      <c r="E58" s="35">
        <f>C58*D58</f>
        <v/>
      </c>
      <c r="F58" s="33" t="inlineStr">
        <is>
          <t>Amazon.ca</t>
        </is>
      </c>
      <c r="G58" s="36" t="inlineStr">
        <is>
          <t>DIN rail 35mm 500mm steel</t>
        </is>
      </c>
      <c r="H58" s="37" t="inlineStr">
        <is>
          <t>Mounts PSU, SSR, terminal blocks</t>
        </is>
      </c>
    </row>
    <row r="59">
      <c r="A59" s="38" t="inlineStr">
        <is>
          <t>DIN Rail PSU Mount Bracket</t>
        </is>
      </c>
      <c r="B59" s="39" t="inlineStr">
        <is>
          <t>Electronics Enclosure</t>
        </is>
      </c>
      <c r="C59" s="40" t="n">
        <v>1</v>
      </c>
      <c r="D59" s="26" t="n">
        <v>6</v>
      </c>
      <c r="E59" s="26">
        <f>C59*D59</f>
        <v/>
      </c>
      <c r="F59" s="39" t="inlineStr">
        <is>
          <t>Amazon.ca</t>
        </is>
      </c>
      <c r="G59" s="41" t="inlineStr">
        <is>
          <t>DIN rail PSU mount bracket Mean Well</t>
        </is>
      </c>
      <c r="H59" s="42" t="inlineStr">
        <is>
          <t>Secures Mean Well LRS-350-24</t>
        </is>
      </c>
    </row>
    <row r="60">
      <c r="A60" s="32" t="inlineStr">
        <is>
          <t>Raspberry Pi 4 DIN Mount</t>
        </is>
      </c>
      <c r="B60" s="33" t="inlineStr">
        <is>
          <t>Electronics Enclosure</t>
        </is>
      </c>
      <c r="C60" s="34" t="n">
        <v>1</v>
      </c>
      <c r="D60" s="35" t="n">
        <v>10</v>
      </c>
      <c r="E60" s="35">
        <f>C60*D60</f>
        <v/>
      </c>
      <c r="F60" s="33" t="inlineStr">
        <is>
          <t>Amazon.ca</t>
        </is>
      </c>
      <c r="G60" s="36" t="inlineStr">
        <is>
          <t>Raspberry Pi 4 DIN rail mount case</t>
        </is>
      </c>
      <c r="H60" s="37" t="inlineStr">
        <is>
          <t>Clips Pi to DIN rail in elec bay</t>
        </is>
      </c>
    </row>
    <row r="61">
      <c r="A61" s="38" t="inlineStr">
        <is>
          <t>Electronics Bay Panel (aluminum 2mm)</t>
        </is>
      </c>
      <c r="B61" s="39" t="inlineStr">
        <is>
          <t>Electronics Enclosure</t>
        </is>
      </c>
      <c r="C61" s="40" t="n">
        <v>1</v>
      </c>
      <c r="D61" s="26" t="n">
        <v>22</v>
      </c>
      <c r="E61" s="26">
        <f>C61*D61</f>
        <v/>
      </c>
      <c r="F61" s="39" t="inlineStr">
        <is>
          <t>Amazon.ca</t>
        </is>
      </c>
      <c r="G61" s="41" t="inlineStr">
        <is>
          <t>aluminum panel 2mm sheet 400x300mm</t>
        </is>
      </c>
      <c r="H61" s="42" t="inlineStr">
        <is>
          <t>Backplane for electronics mounting</t>
        </is>
      </c>
    </row>
    <row r="62">
      <c r="A62" s="32" t="inlineStr">
        <is>
          <t>Acrylic Panel 3mm 400×400mm (sides ×2)</t>
        </is>
      </c>
      <c r="B62" s="33" t="inlineStr">
        <is>
          <t>Enclosure Panels</t>
        </is>
      </c>
      <c r="C62" s="34" t="n">
        <v>2</v>
      </c>
      <c r="D62" s="35" t="n">
        <v>24</v>
      </c>
      <c r="E62" s="35">
        <f>C62*D62</f>
        <v/>
      </c>
      <c r="F62" s="33" t="inlineStr">
        <is>
          <t>Amazon.ca</t>
        </is>
      </c>
      <c r="G62" s="36" t="inlineStr">
        <is>
          <t>3mm clear acrylic sheet 400x400mm</t>
        </is>
      </c>
      <c r="H62" s="37" t="inlineStr">
        <is>
          <t>Side enclosure panels</t>
        </is>
      </c>
    </row>
    <row r="63">
      <c r="A63" s="38" t="inlineStr">
        <is>
          <t>Acrylic Panel 3mm 400×350mm (front)</t>
        </is>
      </c>
      <c r="B63" s="39" t="inlineStr">
        <is>
          <t>Enclosure Panels</t>
        </is>
      </c>
      <c r="C63" s="40" t="n">
        <v>1</v>
      </c>
      <c r="D63" s="26" t="n">
        <v>22</v>
      </c>
      <c r="E63" s="26">
        <f>C63*D63</f>
        <v/>
      </c>
      <c r="F63" s="39" t="inlineStr">
        <is>
          <t>Amazon.ca</t>
        </is>
      </c>
      <c r="G63" s="41" t="inlineStr">
        <is>
          <t>3mm clear acrylic sheet 400x350mm</t>
        </is>
      </c>
      <c r="H63" s="42" t="inlineStr">
        <is>
          <t>Front door panel</t>
        </is>
      </c>
    </row>
    <row r="64">
      <c r="A64" s="32" t="inlineStr">
        <is>
          <t>Polycarbonate Panel 3mm 400×400mm (top)</t>
        </is>
      </c>
      <c r="B64" s="33" t="inlineStr">
        <is>
          <t>Enclosure Panels</t>
        </is>
      </c>
      <c r="C64" s="34" t="n">
        <v>1</v>
      </c>
      <c r="D64" s="35" t="n">
        <v>28</v>
      </c>
      <c r="E64" s="35">
        <f>C64*D64</f>
        <v/>
      </c>
      <c r="F64" s="33" t="inlineStr">
        <is>
          <t>Amazon.ca</t>
        </is>
      </c>
      <c r="G64" s="36" t="inlineStr">
        <is>
          <t>3mm polycarbonate sheet 400x400mm</t>
        </is>
      </c>
      <c r="H64" s="37" t="inlineStr">
        <is>
          <t>Top panel; higher temp rating than acrylic</t>
        </is>
      </c>
    </row>
    <row r="65">
      <c r="A65" s="38" t="inlineStr">
        <is>
          <t>Panel Hinge Stainless (4 pack)</t>
        </is>
      </c>
      <c r="B65" s="39" t="inlineStr">
        <is>
          <t>Enclosure Panels</t>
        </is>
      </c>
      <c r="C65" s="40" t="n">
        <v>1</v>
      </c>
      <c r="D65" s="26" t="n">
        <v>12</v>
      </c>
      <c r="E65" s="26">
        <f>C65*D65</f>
        <v/>
      </c>
      <c r="F65" s="39" t="inlineStr">
        <is>
          <t>Amazon.ca</t>
        </is>
      </c>
      <c r="G65" s="41" t="inlineStr">
        <is>
          <t>stainless steel panel hinge small 4 pack</t>
        </is>
      </c>
      <c r="H65" s="42" t="inlineStr">
        <is>
          <t>Front door hinges</t>
        </is>
      </c>
    </row>
    <row r="66">
      <c r="A66" s="32" t="inlineStr">
        <is>
          <t>Magnetic Panel Latch (4 pack)</t>
        </is>
      </c>
      <c r="B66" s="33" t="inlineStr">
        <is>
          <t>Enclosure Panels</t>
        </is>
      </c>
      <c r="C66" s="34" t="n">
        <v>1</v>
      </c>
      <c r="D66" s="35" t="n">
        <v>9</v>
      </c>
      <c r="E66" s="35">
        <f>C66*D66</f>
        <v/>
      </c>
      <c r="F66" s="33" t="inlineStr">
        <is>
          <t>Amazon.ca</t>
        </is>
      </c>
      <c r="G66" s="36" t="inlineStr">
        <is>
          <t>magnetic panel latch cabinet 4 pack</t>
        </is>
      </c>
      <c r="H66" s="37" t="inlineStr">
        <is>
          <t>Tool-free panel removal</t>
        </is>
      </c>
    </row>
    <row r="67">
      <c r="A67" s="38" t="inlineStr">
        <is>
          <t>Foam Weatherstrip Tape 6mm×3mm 5m</t>
        </is>
      </c>
      <c r="B67" s="39" t="inlineStr">
        <is>
          <t>Enclosure Panels</t>
        </is>
      </c>
      <c r="C67" s="40" t="n">
        <v>2</v>
      </c>
      <c r="D67" s="26" t="n">
        <v>8</v>
      </c>
      <c r="E67" s="26">
        <f>C67*D67</f>
        <v/>
      </c>
      <c r="F67" s="39" t="inlineStr">
        <is>
          <t>Amazon.ca</t>
        </is>
      </c>
      <c r="G67" s="41" t="inlineStr">
        <is>
          <t>foam weatherstrip tape self adhesive 6mm</t>
        </is>
      </c>
      <c r="H67" s="42" t="inlineStr">
        <is>
          <t>Panel edge sealing for ABS/ASA</t>
        </is>
      </c>
    </row>
    <row r="68">
      <c r="A68" s="32" t="inlineStr">
        <is>
          <t>60mm Exhaust Fan 24V</t>
        </is>
      </c>
      <c r="B68" s="33" t="inlineStr">
        <is>
          <t>Enclosure Panels</t>
        </is>
      </c>
      <c r="C68" s="34" t="n">
        <v>1</v>
      </c>
      <c r="D68" s="35" t="n">
        <v>12</v>
      </c>
      <c r="E68" s="35">
        <f>C68*D68</f>
        <v/>
      </c>
      <c r="F68" s="33" t="inlineStr">
        <is>
          <t>Amazon.ca</t>
        </is>
      </c>
      <c r="G68" s="36" t="inlineStr">
        <is>
          <t>60mm fan 24V 3D printer exhaust</t>
        </is>
      </c>
      <c r="H68" s="37" t="inlineStr">
        <is>
          <t>Fume exhaust fan</t>
        </is>
      </c>
    </row>
    <row r="69">
      <c r="A69" s="38" t="inlineStr">
        <is>
          <t>60mm Exhaust Filter Mount (activated carbon)</t>
        </is>
      </c>
      <c r="B69" s="39" t="inlineStr">
        <is>
          <t>Enclosure Panels</t>
        </is>
      </c>
      <c r="C69" s="40" t="n">
        <v>1</v>
      </c>
      <c r="D69" s="26" t="n">
        <v>14</v>
      </c>
      <c r="E69" s="26">
        <f>C69*D69</f>
        <v/>
      </c>
      <c r="F69" s="39" t="inlineStr">
        <is>
          <t>Amazon.ca</t>
        </is>
      </c>
      <c r="G69" s="41" t="inlineStr">
        <is>
          <t>60mm activated carbon filter exhaust 3D printer</t>
        </is>
      </c>
      <c r="H69" s="42" t="inlineStr">
        <is>
          <t>Activated carbon + HEPA filter module</t>
        </is>
      </c>
    </row>
    <row r="70">
      <c r="A70" s="32" t="inlineStr">
        <is>
          <t>M3 Socket Head Cap Screw 6mm (100pk)</t>
        </is>
      </c>
      <c r="B70" s="33" t="inlineStr">
        <is>
          <t>Fasteners</t>
        </is>
      </c>
      <c r="C70" s="34" t="n">
        <v>1</v>
      </c>
      <c r="D70" s="35" t="n">
        <v>7</v>
      </c>
      <c r="E70" s="35">
        <f>C70*D70</f>
        <v/>
      </c>
      <c r="F70" s="33" t="inlineStr">
        <is>
          <t>Amazon.ca</t>
        </is>
      </c>
      <c r="G70" s="36" t="inlineStr">
        <is>
          <t>M3 SHCS 6mm stainless 100 pack</t>
        </is>
      </c>
      <c r="H70" s="37" t="inlineStr">
        <is>
          <t>Short M3 for electronics mounts</t>
        </is>
      </c>
    </row>
    <row r="71">
      <c r="A71" s="38" t="inlineStr">
        <is>
          <t>M3 Socket Head Cap Screw 8mm (100pk)</t>
        </is>
      </c>
      <c r="B71" s="39" t="inlineStr">
        <is>
          <t>Fasteners</t>
        </is>
      </c>
      <c r="C71" s="40" t="n">
        <v>1</v>
      </c>
      <c r="D71" s="26" t="n">
        <v>7</v>
      </c>
      <c r="E71" s="26">
        <f>C71*D71</f>
        <v/>
      </c>
      <c r="F71" s="39" t="inlineStr">
        <is>
          <t>Amazon.ca</t>
        </is>
      </c>
      <c r="G71" s="41" t="inlineStr">
        <is>
          <t>M3 SHCS 8mm stainless 100 pack</t>
        </is>
      </c>
      <c r="H71" s="42" t="inlineStr">
        <is>
          <t>Rail mounting screws</t>
        </is>
      </c>
    </row>
    <row r="72">
      <c r="A72" s="32" t="inlineStr">
        <is>
          <t>M3 Socket Head Cap Screw 10mm (100pk)</t>
        </is>
      </c>
      <c r="B72" s="33" t="inlineStr">
        <is>
          <t>Fasteners</t>
        </is>
      </c>
      <c r="C72" s="34" t="n">
        <v>1</v>
      </c>
      <c r="D72" s="35" t="n">
        <v>7.5</v>
      </c>
      <c r="E72" s="35">
        <f>C72*D72</f>
        <v/>
      </c>
      <c r="F72" s="33" t="inlineStr">
        <is>
          <t>Amazon.ca</t>
        </is>
      </c>
      <c r="G72" s="36" t="inlineStr">
        <is>
          <t>M3 SHCS 10mm stainless 100 pack</t>
        </is>
      </c>
      <c r="H72" s="37" t="inlineStr">
        <is>
          <t>General M3 fasteners</t>
        </is>
      </c>
    </row>
    <row r="73">
      <c r="A73" s="38" t="inlineStr">
        <is>
          <t>M3 Socket Head Cap Screw 12mm (100pk)</t>
        </is>
      </c>
      <c r="B73" s="39" t="inlineStr">
        <is>
          <t>Fasteners</t>
        </is>
      </c>
      <c r="C73" s="40" t="n">
        <v>1</v>
      </c>
      <c r="D73" s="26" t="n">
        <v>7.5</v>
      </c>
      <c r="E73" s="26">
        <f>C73*D73</f>
        <v/>
      </c>
      <c r="F73" s="39" t="inlineStr">
        <is>
          <t>Amazon.ca</t>
        </is>
      </c>
      <c r="G73" s="41" t="inlineStr">
        <is>
          <t>M3 SHCS 12mm stainless 100 pack</t>
        </is>
      </c>
      <c r="H73" s="42" t="inlineStr"/>
    </row>
    <row r="74">
      <c r="A74" s="32" t="inlineStr">
        <is>
          <t>M3 Socket Head Cap Screw 16mm (50pk)</t>
        </is>
      </c>
      <c r="B74" s="33" t="inlineStr">
        <is>
          <t>Fasteners</t>
        </is>
      </c>
      <c r="C74" s="34" t="n">
        <v>1</v>
      </c>
      <c r="D74" s="35" t="n">
        <v>6</v>
      </c>
      <c r="E74" s="35">
        <f>C74*D74</f>
        <v/>
      </c>
      <c r="F74" s="33" t="inlineStr">
        <is>
          <t>Amazon.ca</t>
        </is>
      </c>
      <c r="G74" s="36" t="inlineStr">
        <is>
          <t>M3 SHCS 16mm stainless 50 pack</t>
        </is>
      </c>
      <c r="H74" s="37" t="inlineStr"/>
    </row>
    <row r="75">
      <c r="A75" s="38" t="inlineStr">
        <is>
          <t>M3 Socket Head Cap Screw 20mm (50pk)</t>
        </is>
      </c>
      <c r="B75" s="39" t="inlineStr">
        <is>
          <t>Fasteners</t>
        </is>
      </c>
      <c r="C75" s="40" t="n">
        <v>1</v>
      </c>
      <c r="D75" s="26" t="n">
        <v>6.5</v>
      </c>
      <c r="E75" s="26">
        <f>C75*D75</f>
        <v/>
      </c>
      <c r="F75" s="39" t="inlineStr">
        <is>
          <t>Amazon.ca</t>
        </is>
      </c>
      <c r="G75" s="41" t="inlineStr">
        <is>
          <t>M3 SHCS 20mm stainless 50 pack</t>
        </is>
      </c>
      <c r="H75" s="42" t="inlineStr"/>
    </row>
    <row r="76">
      <c r="A76" s="32" t="inlineStr">
        <is>
          <t>M3 Socket Head Cap Screw 25mm (25pk)</t>
        </is>
      </c>
      <c r="B76" s="33" t="inlineStr">
        <is>
          <t>Fasteners</t>
        </is>
      </c>
      <c r="C76" s="34" t="n">
        <v>1</v>
      </c>
      <c r="D76" s="35" t="n">
        <v>5.5</v>
      </c>
      <c r="E76" s="35">
        <f>C76*D76</f>
        <v/>
      </c>
      <c r="F76" s="33" t="inlineStr">
        <is>
          <t>Amazon.ca</t>
        </is>
      </c>
      <c r="G76" s="36" t="inlineStr">
        <is>
          <t>M3 SHCS 25mm stainless 25 pack</t>
        </is>
      </c>
      <c r="H76" s="37" t="inlineStr"/>
    </row>
    <row r="77">
      <c r="A77" s="38" t="inlineStr">
        <is>
          <t>M3 Hex Nut (200 pack)</t>
        </is>
      </c>
      <c r="B77" s="39" t="inlineStr">
        <is>
          <t>Fasteners</t>
        </is>
      </c>
      <c r="C77" s="40" t="n">
        <v>1</v>
      </c>
      <c r="D77" s="26" t="n">
        <v>6</v>
      </c>
      <c r="E77" s="26">
        <f>C77*D77</f>
        <v/>
      </c>
      <c r="F77" s="39" t="inlineStr">
        <is>
          <t>Amazon.ca</t>
        </is>
      </c>
      <c r="G77" s="41" t="inlineStr">
        <is>
          <t>M3 hex nut stainless 200 pack</t>
        </is>
      </c>
      <c r="H77" s="42" t="inlineStr"/>
    </row>
    <row r="78">
      <c r="A78" s="32" t="inlineStr">
        <is>
          <t>M3 Heatset Insert (100pk)</t>
        </is>
      </c>
      <c r="B78" s="33" t="inlineStr">
        <is>
          <t>Fasteners</t>
        </is>
      </c>
      <c r="C78" s="34" t="n">
        <v>1</v>
      </c>
      <c r="D78" s="35" t="n">
        <v>12</v>
      </c>
      <c r="E78" s="35">
        <f>C78*D78</f>
        <v/>
      </c>
      <c r="F78" s="33" t="inlineStr">
        <is>
          <t>Amazon.ca</t>
        </is>
      </c>
      <c r="G78" s="36" t="inlineStr">
        <is>
          <t>M3 brass heatset insert 3D printing 100pk</t>
        </is>
      </c>
      <c r="H78" s="37" t="inlineStr">
        <is>
          <t>For all printed parts joints</t>
        </is>
      </c>
    </row>
    <row r="79">
      <c r="A79" s="38" t="inlineStr">
        <is>
          <t>M4 Socket Head Cap Screw 8mm (100pk)</t>
        </is>
      </c>
      <c r="B79" s="39" t="inlineStr">
        <is>
          <t>Fasteners</t>
        </is>
      </c>
      <c r="C79" s="40" t="n">
        <v>1</v>
      </c>
      <c r="D79" s="26" t="n">
        <v>8</v>
      </c>
      <c r="E79" s="26">
        <f>C79*D79</f>
        <v/>
      </c>
      <c r="F79" s="39" t="inlineStr">
        <is>
          <t>Amazon.ca</t>
        </is>
      </c>
      <c r="G79" s="41" t="inlineStr">
        <is>
          <t>M4 SHCS 8mm stainless 100 pack</t>
        </is>
      </c>
      <c r="H79" s="42" t="inlineStr">
        <is>
          <t>Frame extrusion fasteners</t>
        </is>
      </c>
    </row>
    <row r="80">
      <c r="A80" s="32" t="inlineStr">
        <is>
          <t>M5 BHCS 8mm Button Head (50pk)</t>
        </is>
      </c>
      <c r="B80" s="33" t="inlineStr">
        <is>
          <t>Fasteners</t>
        </is>
      </c>
      <c r="C80" s="34" t="n">
        <v>1</v>
      </c>
      <c r="D80" s="35" t="n">
        <v>7</v>
      </c>
      <c r="E80" s="35">
        <f>C80*D80</f>
        <v/>
      </c>
      <c r="F80" s="33" t="inlineStr">
        <is>
          <t>Amazon.ca</t>
        </is>
      </c>
      <c r="G80" s="36" t="inlineStr">
        <is>
          <t>M5 button head screw 8mm 50 pack</t>
        </is>
      </c>
      <c r="H80" s="37" t="inlineStr">
        <is>
          <t>Linear rail to extrusion</t>
        </is>
      </c>
    </row>
    <row r="81">
      <c r="A81" s="38" t="inlineStr">
        <is>
          <t>M2 Self-Tapping Screw 6mm (100pk)</t>
        </is>
      </c>
      <c r="B81" s="39" t="inlineStr">
        <is>
          <t>Fasteners</t>
        </is>
      </c>
      <c r="C81" s="40" t="n">
        <v>1</v>
      </c>
      <c r="D81" s="26" t="n">
        <v>4.5</v>
      </c>
      <c r="E81" s="26">
        <f>C81*D81</f>
        <v/>
      </c>
      <c r="F81" s="39" t="inlineStr">
        <is>
          <t>Amazon.ca</t>
        </is>
      </c>
      <c r="G81" s="41" t="inlineStr">
        <is>
          <t>M2 self-tapping screw 6mm 100pk</t>
        </is>
      </c>
      <c r="H81" s="42" t="inlineStr">
        <is>
          <t>Electronics board mounts</t>
        </is>
      </c>
    </row>
    <row r="82">
      <c r="A82" s="32" t="inlineStr">
        <is>
          <t>Spring Washer M3 (100pk)</t>
        </is>
      </c>
      <c r="B82" s="33" t="inlineStr">
        <is>
          <t>Fasteners</t>
        </is>
      </c>
      <c r="C82" s="34" t="n">
        <v>1</v>
      </c>
      <c r="D82" s="35" t="n">
        <v>4</v>
      </c>
      <c r="E82" s="35">
        <f>C82*D82</f>
        <v/>
      </c>
      <c r="F82" s="33" t="inlineStr">
        <is>
          <t>Amazon.ca</t>
        </is>
      </c>
      <c r="G82" s="36" t="inlineStr">
        <is>
          <t>M3 spring lock washer 100 pack</t>
        </is>
      </c>
      <c r="H82" s="37" t="inlineStr">
        <is>
          <t>Belt tension and vibration locking</t>
        </is>
      </c>
    </row>
    <row r="83">
      <c r="A83" s="38" t="inlineStr">
        <is>
          <t>PTFE Tube 4mm OD 2mm ID 1m</t>
        </is>
      </c>
      <c r="B83" s="39" t="inlineStr">
        <is>
          <t>Cables &amp; Wiring</t>
        </is>
      </c>
      <c r="C83" s="40" t="n">
        <v>2</v>
      </c>
      <c r="D83" s="26" t="n">
        <v>8</v>
      </c>
      <c r="E83" s="26">
        <f>C83*D83</f>
        <v/>
      </c>
      <c r="F83" s="39" t="inlineStr">
        <is>
          <t>Amazon.ca</t>
        </is>
      </c>
      <c r="G83" s="41" t="inlineStr">
        <is>
          <t>PTFE tube 4mm OD 2mm ID Capricorn</t>
        </is>
      </c>
      <c r="H83" s="42" t="inlineStr">
        <is>
          <t>Bowden guide to toolhead sections</t>
        </is>
      </c>
    </row>
    <row r="84">
      <c r="A84" s="32" t="inlineStr">
        <is>
          <t>Drag Chain Cable 10×10 open 1m</t>
        </is>
      </c>
      <c r="B84" s="33" t="inlineStr">
        <is>
          <t>Cables &amp; Wiring</t>
        </is>
      </c>
      <c r="C84" s="34" t="n">
        <v>1</v>
      </c>
      <c r="D84" s="35" t="n">
        <v>16</v>
      </c>
      <c r="E84" s="35">
        <f>C84*D84</f>
        <v/>
      </c>
      <c r="F84" s="33" t="inlineStr">
        <is>
          <t>Amazon.ca</t>
        </is>
      </c>
      <c r="G84" s="36" t="inlineStr">
        <is>
          <t>cable drag chain 10x10mm open top 1m</t>
        </is>
      </c>
      <c r="H84" s="37" t="inlineStr">
        <is>
          <t>Toolhead umbilical wiring</t>
        </is>
      </c>
    </row>
    <row r="85">
      <c r="A85" s="38" t="inlineStr">
        <is>
          <t>Silicone Wire 22AWG 5 colors 10m ea</t>
        </is>
      </c>
      <c r="B85" s="39" t="inlineStr">
        <is>
          <t>Cables &amp; Wiring</t>
        </is>
      </c>
      <c r="C85" s="40" t="n">
        <v>1</v>
      </c>
      <c r="D85" s="26" t="n">
        <v>32</v>
      </c>
      <c r="E85" s="26">
        <f>C85*D85</f>
        <v/>
      </c>
      <c r="F85" s="39" t="inlineStr">
        <is>
          <t>Amazon.ca</t>
        </is>
      </c>
      <c r="G85" s="41" t="inlineStr">
        <is>
          <t>silicone wire 22AWG 10m 5 color set</t>
        </is>
      </c>
      <c r="H85" s="42" t="inlineStr">
        <is>
          <t>Main wiring harness; heat-tolerant</t>
        </is>
      </c>
    </row>
    <row r="86">
      <c r="A86" s="32" t="inlineStr">
        <is>
          <t>Silicone Wire 26AWG 5 colors 5m ea</t>
        </is>
      </c>
      <c r="B86" s="33" t="inlineStr">
        <is>
          <t>Cables &amp; Wiring</t>
        </is>
      </c>
      <c r="C86" s="34" t="n">
        <v>1</v>
      </c>
      <c r="D86" s="35" t="n">
        <v>20</v>
      </c>
      <c r="E86" s="35">
        <f>C86*D86</f>
        <v/>
      </c>
      <c r="F86" s="33" t="inlineStr">
        <is>
          <t>Amazon.ca</t>
        </is>
      </c>
      <c r="G86" s="36" t="inlineStr">
        <is>
          <t>silicone wire 26AWG 5m 5 color set</t>
        </is>
      </c>
      <c r="H86" s="37" t="inlineStr">
        <is>
          <t>Signal wiring (thermistor, endstops)</t>
        </is>
      </c>
    </row>
    <row r="87">
      <c r="A87" s="38" t="inlineStr">
        <is>
          <t>JST-XH Connector Kit (250pcs)</t>
        </is>
      </c>
      <c r="B87" s="39" t="inlineStr">
        <is>
          <t>Cables &amp; Wiring</t>
        </is>
      </c>
      <c r="C87" s="40" t="n">
        <v>1</v>
      </c>
      <c r="D87" s="26" t="n">
        <v>16</v>
      </c>
      <c r="E87" s="26">
        <f>C87*D87</f>
        <v/>
      </c>
      <c r="F87" s="39" t="inlineStr">
        <is>
          <t>Amazon.ca</t>
        </is>
      </c>
      <c r="G87" s="41" t="inlineStr">
        <is>
          <t>JST XH connector kit 2 3 4 5 pin 250pcs</t>
        </is>
      </c>
      <c r="H87" s="42" t="inlineStr">
        <is>
          <t>Fan, endstop, probe connectors</t>
        </is>
      </c>
    </row>
    <row r="88">
      <c r="A88" s="32" t="inlineStr">
        <is>
          <t>Molex Micro-Fit 3.0 Connector Kit</t>
        </is>
      </c>
      <c r="B88" s="33" t="inlineStr">
        <is>
          <t>Cables &amp; Wiring</t>
        </is>
      </c>
      <c r="C88" s="34" t="n">
        <v>1</v>
      </c>
      <c r="D88" s="35" t="n">
        <v>22</v>
      </c>
      <c r="E88" s="35">
        <f>C88*D88</f>
        <v/>
      </c>
      <c r="F88" s="33" t="inlineStr">
        <is>
          <t>DigiKey CA</t>
        </is>
      </c>
      <c r="G88" s="36" t="inlineStr">
        <is>
          <t>Molex 43025 Micro-Fit connector kit</t>
        </is>
      </c>
      <c r="H88" s="37" t="inlineStr">
        <is>
          <t>High-current heater/motor connectors</t>
        </is>
      </c>
    </row>
    <row r="89">
      <c r="A89" s="38" t="inlineStr">
        <is>
          <t>Cable Sleeve 6mm braided 5m</t>
        </is>
      </c>
      <c r="B89" s="39" t="inlineStr">
        <is>
          <t>Cables &amp; Wiring</t>
        </is>
      </c>
      <c r="C89" s="40" t="n">
        <v>1</v>
      </c>
      <c r="D89" s="26" t="n">
        <v>10</v>
      </c>
      <c r="E89" s="26">
        <f>C89*D89</f>
        <v/>
      </c>
      <c r="F89" s="39" t="inlineStr">
        <is>
          <t>Amazon.ca</t>
        </is>
      </c>
      <c r="G89" s="41" t="inlineStr">
        <is>
          <t>braided cable sleeve 6mm 5m black</t>
        </is>
      </c>
      <c r="H89" s="42" t="inlineStr">
        <is>
          <t>Wiring harness protection</t>
        </is>
      </c>
    </row>
    <row r="90">
      <c r="A90" s="32" t="inlineStr">
        <is>
          <t>BTT Mini12864 LCD Display</t>
        </is>
      </c>
      <c r="B90" s="33" t="inlineStr">
        <is>
          <t>Display</t>
        </is>
      </c>
      <c r="C90" s="34" t="n">
        <v>1</v>
      </c>
      <c r="D90" s="35" t="n">
        <v>28</v>
      </c>
      <c r="E90" s="35">
        <f>C90*D90</f>
        <v/>
      </c>
      <c r="F90" s="33" t="inlineStr">
        <is>
          <t>Amazon.ca</t>
        </is>
      </c>
      <c r="G90" s="36" t="inlineStr">
        <is>
          <t>BTT Mini12864 LCD display Klipper</t>
        </is>
      </c>
      <c r="H90" s="37" t="inlineStr">
        <is>
          <t>Compact Voron-style LCD with encoder knob</t>
        </is>
      </c>
    </row>
    <row r="91">
      <c r="A91" s="38" t="inlineStr">
        <is>
          <t>Raspberry Pi Camera Module v2</t>
        </is>
      </c>
      <c r="B91" s="39" t="inlineStr">
        <is>
          <t>Misc Hardware</t>
        </is>
      </c>
      <c r="C91" s="40" t="n">
        <v>1</v>
      </c>
      <c r="D91" s="26" t="n">
        <v>35</v>
      </c>
      <c r="E91" s="26">
        <f>C91*D91</f>
        <v/>
      </c>
      <c r="F91" s="39" t="inlineStr">
        <is>
          <t>Amazon.ca</t>
        </is>
      </c>
      <c r="G91" s="41" t="inlineStr">
        <is>
          <t>Raspberry Pi camera module v2 8MP</t>
        </is>
      </c>
      <c r="H91" s="42" t="inlineStr">
        <is>
          <t>Obico/Spaghetti Detective print monitoring</t>
        </is>
      </c>
    </row>
    <row r="92">
      <c r="A92" s="32" t="inlineStr">
        <is>
          <t>Filament Runout Sensor (BTT)</t>
        </is>
      </c>
      <c r="B92" s="33" t="inlineStr">
        <is>
          <t>Misc Hardware</t>
        </is>
      </c>
      <c r="C92" s="34" t="n">
        <v>1</v>
      </c>
      <c r="D92" s="35" t="n">
        <v>12</v>
      </c>
      <c r="E92" s="35">
        <f>C92*D92</f>
        <v/>
      </c>
      <c r="F92" s="33" t="inlineStr">
        <is>
          <t>Amazon.ca</t>
        </is>
      </c>
      <c r="G92" s="36" t="inlineStr">
        <is>
          <t>BTT filament runout sensor SFS V2</t>
        </is>
      </c>
      <c r="H92" s="37" t="inlineStr">
        <is>
          <t>Pauses print on filament out</t>
        </is>
      </c>
    </row>
    <row r="93">
      <c r="A93" s="38" t="inlineStr">
        <is>
          <t>IEC C14 Inlet with Fuse Holder</t>
        </is>
      </c>
      <c r="B93" s="39" t="inlineStr">
        <is>
          <t>Misc Hardware</t>
        </is>
      </c>
      <c r="C93" s="40" t="n">
        <v>1</v>
      </c>
      <c r="D93" s="26" t="n">
        <v>8</v>
      </c>
      <c r="E93" s="26">
        <f>C93*D93</f>
        <v/>
      </c>
      <c r="F93" s="39" t="inlineStr">
        <is>
          <t>Amazon.ca</t>
        </is>
      </c>
      <c r="G93" s="41" t="inlineStr">
        <is>
          <t>IEC C14 power inlet fuse holder panel mount</t>
        </is>
      </c>
      <c r="H93" s="42" t="inlineStr">
        <is>
          <t>Mains power entry with fuse protection</t>
        </is>
      </c>
    </row>
    <row r="94">
      <c r="A94" s="32" t="inlineStr">
        <is>
          <t>Emergency Stop Button 22mm (Latching)</t>
        </is>
      </c>
      <c r="B94" s="33" t="inlineStr">
        <is>
          <t>Misc Hardware</t>
        </is>
      </c>
      <c r="C94" s="34" t="n">
        <v>1</v>
      </c>
      <c r="D94" s="35" t="n">
        <v>11</v>
      </c>
      <c r="E94" s="35">
        <f>C94*D94</f>
        <v/>
      </c>
      <c r="F94" s="33" t="inlineStr">
        <is>
          <t>Amazon.ca</t>
        </is>
      </c>
      <c r="G94" s="36" t="inlineStr">
        <is>
          <t>22mm emergency stop button red latching</t>
        </is>
      </c>
      <c r="H94" s="37" t="inlineStr">
        <is>
          <t>Safety E-stop for main power</t>
        </is>
      </c>
    </row>
    <row r="95">
      <c r="A95" s="38" t="inlineStr">
        <is>
          <t>Pi Camera Ribbon Cable 300mm</t>
        </is>
      </c>
      <c r="B95" s="39" t="inlineStr">
        <is>
          <t>Misc Hardware</t>
        </is>
      </c>
      <c r="C95" s="40" t="n">
        <v>1</v>
      </c>
      <c r="D95" s="26" t="n">
        <v>8</v>
      </c>
      <c r="E95" s="26">
        <f>C95*D95</f>
        <v/>
      </c>
      <c r="F95" s="39" t="inlineStr">
        <is>
          <t>Amazon.ca</t>
        </is>
      </c>
      <c r="G95" s="41" t="inlineStr">
        <is>
          <t>Raspberry Pi camera flex ribbon 300mm</t>
        </is>
      </c>
      <c r="H95" s="42" t="inlineStr">
        <is>
          <t>Extended cable for camera routing</t>
        </is>
      </c>
    </row>
    <row r="96">
      <c r="A96" s="32" t="inlineStr">
        <is>
          <t>Zip Ties Assorted 100pk</t>
        </is>
      </c>
      <c r="B96" s="33" t="inlineStr">
        <is>
          <t>Misc Hardware</t>
        </is>
      </c>
      <c r="C96" s="34" t="n">
        <v>1</v>
      </c>
      <c r="D96" s="35" t="n">
        <v>6</v>
      </c>
      <c r="E96" s="35">
        <f>C96*D96</f>
        <v/>
      </c>
      <c r="F96" s="33" t="inlineStr">
        <is>
          <t>Amazon.ca</t>
        </is>
      </c>
      <c r="G96" s="36" t="inlineStr">
        <is>
          <t>zip tie assorted 100 pack black nylon</t>
        </is>
      </c>
      <c r="H96" s="37" t="inlineStr">
        <is>
          <t>Cable management throughout</t>
        </is>
      </c>
    </row>
    <row r="97">
      <c r="A97" s="38" t="inlineStr">
        <is>
          <t>Loctite 243 Threadlocker Blue 5ml</t>
        </is>
      </c>
      <c r="B97" s="39" t="inlineStr">
        <is>
          <t>Misc Hardware</t>
        </is>
      </c>
      <c r="C97" s="40" t="n">
        <v>1</v>
      </c>
      <c r="D97" s="26" t="n">
        <v>9</v>
      </c>
      <c r="E97" s="26">
        <f>C97*D97</f>
        <v/>
      </c>
      <c r="F97" s="39" t="inlineStr">
        <is>
          <t>Amazon.ca</t>
        </is>
      </c>
      <c r="G97" s="41" t="inlineStr">
        <is>
          <t>Loctite 243 blue threadlocker 5ml</t>
        </is>
      </c>
      <c r="H97" s="42" t="inlineStr">
        <is>
          <t>Vibration-resistant fasteners on rails/motors</t>
        </is>
      </c>
    </row>
    <row r="98">
      <c r="A98" s="43" t="inlineStr">
        <is>
          <t>TOTAL HARDWARE BOM COST</t>
        </is>
      </c>
      <c r="B98" s="48" t="n"/>
      <c r="C98" s="48" t="n"/>
      <c r="D98" s="49" t="n"/>
      <c r="E98" s="45">
        <f>SUM(E4:E97)</f>
        <v/>
      </c>
      <c r="F98" s="44" t="n"/>
      <c r="G98" s="44" t="n"/>
      <c r="H98" s="46" t="n"/>
    </row>
    <row r="99"/>
    <row r="100">
      <c r="A100" s="47" t="inlineStr">
        <is>
          <t>Note: Prices are CAD estimates as of May 2026. Verify current pricing on supplier websites before ordering. AliExpress prices may vary with shipping.</t>
        </is>
      </c>
    </row>
  </sheetData>
  <mergeCells count="3">
    <mergeCell ref="A1:I1"/>
    <mergeCell ref="A98:D98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14" customWidth="1" min="5" max="5"/>
    <col width="12" customWidth="1" min="6" max="6"/>
    <col width="24" customWidth="1" min="7" max="7"/>
    <col width="14" customWidth="1" min="8" max="8"/>
    <col width="16" customWidth="1" min="9" max="9"/>
    <col width="14" customWidth="1" min="10" max="10"/>
    <col width="12" customWidth="1" min="11" max="11"/>
    <col width="12" customWidth="1" min="12" max="12"/>
    <col width="14" customWidth="1" min="13" max="13"/>
    <col width="55" customWidth="1" min="14" max="14"/>
  </cols>
  <sheetData>
    <row r="1" ht="30" customHeight="1">
      <c r="A1" s="27" t="inlineStr">
        <is>
          <t>MORPHOGENESIS — Filament Reference Guide</t>
        </is>
      </c>
    </row>
    <row r="2">
      <c r="A2" s="28" t="inlineStr">
        <is>
          <t>Compatible filament types for the Morphogenesis build  ·  1.75mm  ·  All temps in °C  ·  Prices CAD/kg</t>
        </is>
      </c>
    </row>
    <row r="3" ht="36" customHeight="1">
      <c r="A3" s="29" t="inlineStr">
        <is>
          <t>Filament Type</t>
        </is>
      </c>
      <c r="B3" s="30" t="inlineStr">
        <is>
          <t>Brand Rec.</t>
        </is>
      </c>
      <c r="C3" s="30" t="inlineStr">
        <is>
          <t>Diameter (mm)</t>
        </is>
      </c>
      <c r="D3" s="30" t="inlineStr">
        <is>
          <t>Spool (kg)</t>
        </is>
      </c>
      <c r="E3" s="30" t="inlineStr">
        <is>
          <t>Price/kg (CAD)</t>
        </is>
      </c>
      <c r="F3" s="30" t="inlineStr">
        <is>
          <t>Hardware Tier</t>
        </is>
      </c>
      <c r="G3" s="30" t="inlineStr">
        <is>
          <t>Nozzle Type</t>
        </is>
      </c>
      <c r="H3" s="30" t="inlineStr">
        <is>
          <t>Bed Temp (°C)</t>
        </is>
      </c>
      <c r="I3" s="30" t="inlineStr">
        <is>
          <t>Hotend Temp (°C)</t>
        </is>
      </c>
      <c r="J3" s="30" t="inlineStr">
        <is>
          <t>Enclosure Req.</t>
        </is>
      </c>
      <c r="K3" s="30" t="inlineStr">
        <is>
          <t>Drying Req.</t>
        </is>
      </c>
      <c r="L3" s="30" t="inlineStr">
        <is>
          <t>Dry Temp (°C)</t>
        </is>
      </c>
      <c r="M3" s="30" t="inlineStr">
        <is>
          <t>Dry Time (hrs)</t>
        </is>
      </c>
      <c r="N3" s="31" t="inlineStr">
        <is>
          <t>Notes / Use Cases</t>
        </is>
      </c>
    </row>
    <row r="4" ht="48" customHeight="1">
      <c r="A4" s="50" t="inlineStr">
        <is>
          <t>PLA</t>
        </is>
      </c>
      <c r="B4" s="51" t="inlineStr">
        <is>
          <t>eSUN / Prusament</t>
        </is>
      </c>
      <c r="C4" s="52" t="n">
        <v>1.75</v>
      </c>
      <c r="D4" s="52" t="n">
        <v>1</v>
      </c>
      <c r="E4" s="53" t="n">
        <v>28</v>
      </c>
      <c r="F4" s="54" t="inlineStr">
        <is>
          <t>Tier 1</t>
        </is>
      </c>
      <c r="G4" s="51" t="inlineStr">
        <is>
          <t>Brass 0.4mm</t>
        </is>
      </c>
      <c r="H4" s="55" t="n">
        <v>60</v>
      </c>
      <c r="I4" s="55" t="n">
        <v>215</v>
      </c>
      <c r="J4" s="54" t="inlineStr">
        <is>
          <t>No</t>
        </is>
      </c>
      <c r="K4" s="54" t="inlineStr">
        <is>
          <t>No</t>
        </is>
      </c>
      <c r="L4" s="55" t="inlineStr"/>
      <c r="M4" s="55" t="inlineStr"/>
      <c r="N4" s="56" t="inlineStr">
        <is>
          <t>General prototyping, decorative prints. Easiest to print. Biodegradable PLA+PBAT blend common.</t>
        </is>
      </c>
    </row>
    <row r="5" ht="48" customHeight="1">
      <c r="A5" s="50" t="inlineStr">
        <is>
          <t>PLA+</t>
        </is>
      </c>
      <c r="B5" s="51" t="inlineStr">
        <is>
          <t>eSUN PLA+ / Polymaker</t>
        </is>
      </c>
      <c r="C5" s="52" t="inlineStr">
        <is>
          <t>1.75</t>
        </is>
      </c>
      <c r="D5" s="52" t="n">
        <v>1</v>
      </c>
      <c r="E5" s="53" t="n">
        <v>32</v>
      </c>
      <c r="F5" s="54" t="inlineStr">
        <is>
          <t>Tier 1</t>
        </is>
      </c>
      <c r="G5" s="51" t="inlineStr">
        <is>
          <t>Brass 0.4mm</t>
        </is>
      </c>
      <c r="H5" s="55" t="n">
        <v>60</v>
      </c>
      <c r="I5" s="55" t="n">
        <v>225</v>
      </c>
      <c r="J5" s="54" t="inlineStr">
        <is>
          <t>No</t>
        </is>
      </c>
      <c r="K5" s="54" t="inlineStr">
        <is>
          <t>No</t>
        </is>
      </c>
      <c r="L5" s="55" t="inlineStr"/>
      <c r="M5" s="55" t="inlineStr"/>
      <c r="N5" s="56" t="inlineStr">
        <is>
          <t>Tougher than standard PLA; better layer adhesion and impact resistance. Still easy to print.</t>
        </is>
      </c>
    </row>
    <row r="6" ht="48" customHeight="1">
      <c r="A6" s="50" t="inlineStr">
        <is>
          <t>PETG</t>
        </is>
      </c>
      <c r="B6" s="51" t="inlineStr">
        <is>
          <t>Prusament / eSUN</t>
        </is>
      </c>
      <c r="C6" s="52" t="n">
        <v>1.75</v>
      </c>
      <c r="D6" s="52" t="n">
        <v>1</v>
      </c>
      <c r="E6" s="53" t="n">
        <v>35</v>
      </c>
      <c r="F6" s="54" t="inlineStr">
        <is>
          <t>Tier 1</t>
        </is>
      </c>
      <c r="G6" s="51" t="inlineStr">
        <is>
          <t>Brass 0.4mm</t>
        </is>
      </c>
      <c r="H6" s="55" t="n">
        <v>80</v>
      </c>
      <c r="I6" s="55" t="n">
        <v>240</v>
      </c>
      <c r="J6" s="54" t="inlineStr">
        <is>
          <t>Opt</t>
        </is>
      </c>
      <c r="K6" s="54" t="inlineStr">
        <is>
          <t>No</t>
        </is>
      </c>
      <c r="L6" s="55" t="inlineStr"/>
      <c r="M6" s="55" t="inlineStr"/>
      <c r="N6" s="56" t="inlineStr">
        <is>
          <t>Good chemical resistance; slightly flexible. Great for functional parts. Slight moisture sensitivity.</t>
        </is>
      </c>
    </row>
    <row r="7" ht="48" customHeight="1">
      <c r="A7" s="57" t="inlineStr">
        <is>
          <t>PETG-CF</t>
        </is>
      </c>
      <c r="B7" s="58" t="inlineStr">
        <is>
          <t>eSUN PETG-CF / Bambu</t>
        </is>
      </c>
      <c r="C7" s="59" t="inlineStr">
        <is>
          <t>1.75</t>
        </is>
      </c>
      <c r="D7" s="59" t="n">
        <v>0.5</v>
      </c>
      <c r="E7" s="60" t="n">
        <v>55</v>
      </c>
      <c r="F7" s="61" t="inlineStr">
        <is>
          <t>Tier 2</t>
        </is>
      </c>
      <c r="G7" s="62" t="inlineStr">
        <is>
          <t>Hardened Steel 0.4mm</t>
        </is>
      </c>
      <c r="H7" s="63" t="n">
        <v>80</v>
      </c>
      <c r="I7" s="63" t="n">
        <v>245</v>
      </c>
      <c r="J7" s="61" t="inlineStr">
        <is>
          <t>Opt</t>
        </is>
      </c>
      <c r="K7" s="64" t="inlineStr">
        <is>
          <t>Yes</t>
        </is>
      </c>
      <c r="L7" s="63" t="n">
        <v>65</v>
      </c>
      <c r="M7" s="63" t="n">
        <v>4</v>
      </c>
      <c r="N7" s="65" t="inlineStr">
        <is>
          <t>CF-reinforced PETG; stiffer, lighter. Abrasive — brass nozzle wears in hours. Good for brackets/mounts.</t>
        </is>
      </c>
    </row>
    <row r="8" ht="48" customHeight="1">
      <c r="A8" s="66" t="inlineStr">
        <is>
          <t>ASA</t>
        </is>
      </c>
      <c r="B8" s="67" t="inlineStr">
        <is>
          <t>Polymaker PolyLite</t>
        </is>
      </c>
      <c r="C8" s="68" t="n">
        <v>1.75</v>
      </c>
      <c r="D8" s="68" t="n">
        <v>1</v>
      </c>
      <c r="E8" s="69" t="n">
        <v>42</v>
      </c>
      <c r="F8" s="70" t="inlineStr">
        <is>
          <t>Tier 3</t>
        </is>
      </c>
      <c r="G8" s="67" t="inlineStr">
        <is>
          <t>Brass 0.4mm</t>
        </is>
      </c>
      <c r="H8" s="71" t="n">
        <v>90</v>
      </c>
      <c r="I8" s="71" t="n">
        <v>245</v>
      </c>
      <c r="J8" s="72" t="inlineStr">
        <is>
          <t>Yes</t>
        </is>
      </c>
      <c r="K8" s="64" t="inlineStr">
        <is>
          <t>Yes</t>
        </is>
      </c>
      <c r="L8" s="71" t="n">
        <v>60</v>
      </c>
      <c r="M8" s="71" t="n">
        <v>4</v>
      </c>
      <c r="N8" s="73" t="inlineStr">
        <is>
          <t>UV-stable, temp-resistant. ABS replacement for outdoor parts. Needs enclosure to prevent warping.</t>
        </is>
      </c>
    </row>
    <row r="9" ht="48" customHeight="1">
      <c r="A9" s="66" t="inlineStr">
        <is>
          <t>ABS</t>
        </is>
      </c>
      <c r="B9" s="67" t="inlineStr">
        <is>
          <t>eSUN ABS+ / Bambu</t>
        </is>
      </c>
      <c r="C9" s="68" t="n">
        <v>1.75</v>
      </c>
      <c r="D9" s="68" t="n">
        <v>1</v>
      </c>
      <c r="E9" s="69" t="n">
        <v>32</v>
      </c>
      <c r="F9" s="70" t="inlineStr">
        <is>
          <t>Tier 3</t>
        </is>
      </c>
      <c r="G9" s="67" t="inlineStr">
        <is>
          <t>Brass 0.4mm</t>
        </is>
      </c>
      <c r="H9" s="71" t="n">
        <v>100</v>
      </c>
      <c r="I9" s="71" t="n">
        <v>240</v>
      </c>
      <c r="J9" s="72" t="inlineStr">
        <is>
          <t>Yes</t>
        </is>
      </c>
      <c r="K9" s="64" t="inlineStr">
        <is>
          <t>Yes</t>
        </is>
      </c>
      <c r="L9" s="71" t="n">
        <v>60</v>
      </c>
      <c r="M9" s="71" t="n">
        <v>4</v>
      </c>
      <c r="N9" s="73" t="inlineStr">
        <is>
          <t>Classic functional filament; post-process with acetone smoothing. Enclosure critical.</t>
        </is>
      </c>
    </row>
    <row r="10" ht="48" customHeight="1">
      <c r="A10" s="50" t="inlineStr">
        <is>
          <t>TPU 95A</t>
        </is>
      </c>
      <c r="B10" s="51" t="inlineStr">
        <is>
          <t>eSUN TPU / Polymaker</t>
        </is>
      </c>
      <c r="C10" s="52" t="inlineStr">
        <is>
          <t>1.75</t>
        </is>
      </c>
      <c r="D10" s="52" t="n">
        <v>0.5</v>
      </c>
      <c r="E10" s="53" t="n">
        <v>45</v>
      </c>
      <c r="F10" s="54" t="inlineStr">
        <is>
          <t>Tier 1</t>
        </is>
      </c>
      <c r="G10" s="51" t="inlineStr">
        <is>
          <t>Brass 0.4mm</t>
        </is>
      </c>
      <c r="H10" s="55" t="n">
        <v>40</v>
      </c>
      <c r="I10" s="55" t="n">
        <v>225</v>
      </c>
      <c r="J10" s="54" t="inlineStr">
        <is>
          <t>No</t>
        </is>
      </c>
      <c r="K10" s="64" t="inlineStr">
        <is>
          <t>Yes</t>
        </is>
      </c>
      <c r="L10" s="55" t="n">
        <v>50</v>
      </c>
      <c r="M10" s="55" t="n">
        <v>4</v>
      </c>
      <c r="N10" s="56" t="inlineStr">
        <is>
          <t>Flexible/rubber-like. Good for grips, gaskets, phone cases. Direct drive required; no Bowden.</t>
        </is>
      </c>
    </row>
    <row r="11" ht="48" customHeight="1">
      <c r="A11" s="74" t="inlineStr">
        <is>
          <t>Nylon PA12</t>
        </is>
      </c>
      <c r="B11" s="75" t="inlineStr">
        <is>
          <t>Polymaker PA12 / Fiberon</t>
        </is>
      </c>
      <c r="C11" s="76" t="inlineStr">
        <is>
          <t>1.75</t>
        </is>
      </c>
      <c r="D11" s="76" t="n">
        <v>0.5</v>
      </c>
      <c r="E11" s="77" t="n">
        <v>65</v>
      </c>
      <c r="F11" s="78" t="inlineStr">
        <is>
          <t>Tier 4</t>
        </is>
      </c>
      <c r="G11" s="79" t="inlineStr">
        <is>
          <t>Hardened Steel 0.4mm</t>
        </is>
      </c>
      <c r="H11" s="80" t="n">
        <v>85</v>
      </c>
      <c r="I11" s="80" t="n">
        <v>260</v>
      </c>
      <c r="J11" s="72" t="inlineStr">
        <is>
          <t>Yes</t>
        </is>
      </c>
      <c r="K11" s="64" t="inlineStr">
        <is>
          <t>Yes</t>
        </is>
      </c>
      <c r="L11" s="80" t="n">
        <v>80</v>
      </c>
      <c r="M11" s="80" t="n">
        <v>12</v>
      </c>
      <c r="N11" s="81" t="inlineStr">
        <is>
          <t>Strong, fatigue-resistant, slightly flexible. Very hygroscopic — dry before and during print. Excellent for gears.</t>
        </is>
      </c>
    </row>
    <row r="12" ht="48" customHeight="1">
      <c r="A12" s="74" t="inlineStr">
        <is>
          <t>Nylon PA12-CF</t>
        </is>
      </c>
      <c r="B12" s="75" t="inlineStr">
        <is>
          <t>Polymaker PA12-CF</t>
        </is>
      </c>
      <c r="C12" s="76" t="n">
        <v>1.75</v>
      </c>
      <c r="D12" s="76" t="n">
        <v>0.5</v>
      </c>
      <c r="E12" s="77" t="n">
        <v>85</v>
      </c>
      <c r="F12" s="78" t="inlineStr">
        <is>
          <t>Tier 4</t>
        </is>
      </c>
      <c r="G12" s="79" t="inlineStr">
        <is>
          <t>Hardened Steel 0.4mm</t>
        </is>
      </c>
      <c r="H12" s="80" t="n">
        <v>90</v>
      </c>
      <c r="I12" s="80" t="n">
        <v>260</v>
      </c>
      <c r="J12" s="72" t="inlineStr">
        <is>
          <t>Yes</t>
        </is>
      </c>
      <c r="K12" s="64" t="inlineStr">
        <is>
          <t>Yes</t>
        </is>
      </c>
      <c r="L12" s="80" t="n">
        <v>80</v>
      </c>
      <c r="M12" s="80" t="n">
        <v>12</v>
      </c>
      <c r="N12" s="81" t="inlineStr">
        <is>
          <t>CF-reinforced PA12; high stiffness-to-weight. Demanding on hotend and nozzle. Print slowly.</t>
        </is>
      </c>
    </row>
    <row r="13" ht="48" customHeight="1">
      <c r="A13" s="82" t="inlineStr">
        <is>
          <t>PC</t>
        </is>
      </c>
      <c r="B13" s="83" t="inlineStr">
        <is>
          <t>Polymaker PC-01 / eSUN</t>
        </is>
      </c>
      <c r="C13" s="84" t="inlineStr">
        <is>
          <t>1.75</t>
        </is>
      </c>
      <c r="D13" s="84" t="n">
        <v>0.5</v>
      </c>
      <c r="E13" s="85" t="n">
        <v>70</v>
      </c>
      <c r="F13" s="86" t="inlineStr">
        <is>
          <t>Tier 5</t>
        </is>
      </c>
      <c r="G13" s="87" t="inlineStr">
        <is>
          <t>Hardened Steel 0.4mm</t>
        </is>
      </c>
      <c r="H13" s="88" t="n">
        <v>115</v>
      </c>
      <c r="I13" s="88" t="n">
        <v>280</v>
      </c>
      <c r="J13" s="72" t="inlineStr">
        <is>
          <t>Yes</t>
        </is>
      </c>
      <c r="K13" s="64" t="inlineStr">
        <is>
          <t>Yes</t>
        </is>
      </c>
      <c r="L13" s="88" t="n">
        <v>80</v>
      </c>
      <c r="M13" s="88" t="n">
        <v>8</v>
      </c>
      <c r="N13" s="89" t="inlineStr">
        <is>
          <t>High-impact, transparent possible, heat-resistant to 110°C+. Needs heated chamber ~50°C. Difficult to print.</t>
        </is>
      </c>
    </row>
    <row r="14" ht="48" customHeight="1">
      <c r="A14" s="90" t="inlineStr">
        <is>
          <t>PC-CF</t>
        </is>
      </c>
      <c r="B14" s="91" t="inlineStr">
        <is>
          <t>3DXTech CarbonX PC-CF</t>
        </is>
      </c>
      <c r="C14" s="92" t="inlineStr">
        <is>
          <t>1.75</t>
        </is>
      </c>
      <c r="D14" s="92" t="n">
        <v>0.5</v>
      </c>
      <c r="E14" s="93" t="n">
        <v>110</v>
      </c>
      <c r="F14" s="94" t="inlineStr">
        <is>
          <t>Tier 6</t>
        </is>
      </c>
      <c r="G14" s="95" t="inlineStr">
        <is>
          <t>Nozzle X / Ruby</t>
        </is>
      </c>
      <c r="H14" s="96" t="n">
        <v>120</v>
      </c>
      <c r="I14" s="96" t="n">
        <v>300</v>
      </c>
      <c r="J14" s="72" t="inlineStr">
        <is>
          <t>Yes</t>
        </is>
      </c>
      <c r="K14" s="64" t="inlineStr">
        <is>
          <t>Yes</t>
        </is>
      </c>
      <c r="L14" s="96" t="n">
        <v>90</v>
      </c>
      <c r="M14" s="96" t="n">
        <v>8</v>
      </c>
      <c r="N14" s="97" t="inlineStr">
        <is>
          <t>Industrial-grade CF+PC composite. Extremely stiff and heat-resistant. Requires Ruby or Nozzle X. Slow print.</t>
        </is>
      </c>
    </row>
    <row r="15" ht="48" customHeight="1">
      <c r="A15" s="57" t="inlineStr">
        <is>
          <t>PLA-CF</t>
        </is>
      </c>
      <c r="B15" s="58" t="inlineStr">
        <is>
          <t>Bambu PLA-CF / eSUN</t>
        </is>
      </c>
      <c r="C15" s="59" t="n">
        <v>1.75</v>
      </c>
      <c r="D15" s="59" t="n">
        <v>0.5</v>
      </c>
      <c r="E15" s="60" t="n">
        <v>52</v>
      </c>
      <c r="F15" s="61" t="inlineStr">
        <is>
          <t>Tier 2</t>
        </is>
      </c>
      <c r="G15" s="62" t="inlineStr">
        <is>
          <t>Hardened Steel 0.4mm</t>
        </is>
      </c>
      <c r="H15" s="63" t="n">
        <v>60</v>
      </c>
      <c r="I15" s="63" t="n">
        <v>220</v>
      </c>
      <c r="J15" s="61" t="inlineStr">
        <is>
          <t>No</t>
        </is>
      </c>
      <c r="K15" s="61" t="inlineStr">
        <is>
          <t>No</t>
        </is>
      </c>
      <c r="L15" s="63" t="inlineStr"/>
      <c r="M15" s="63" t="inlineStr"/>
      <c r="N15" s="65" t="inlineStr">
        <is>
          <t>CF-filled PLA; stiffer and lighter than standard PLA. Great entry into CF printing with easy settings.</t>
        </is>
      </c>
    </row>
    <row r="16" ht="48" customHeight="1">
      <c r="A16" s="98" t="inlineStr">
        <is>
          <t>PAHT-CF</t>
        </is>
      </c>
      <c r="B16" s="99" t="inlineStr">
        <is>
          <t>3DXTech PAHT-CF</t>
        </is>
      </c>
      <c r="C16" s="100" t="n">
        <v>1.75</v>
      </c>
      <c r="D16" s="100" t="n">
        <v>0.5</v>
      </c>
      <c r="E16" s="101" t="n">
        <v>130</v>
      </c>
      <c r="F16" s="102" t="inlineStr">
        <is>
          <t>Tier 5</t>
        </is>
      </c>
      <c r="G16" s="103" t="inlineStr">
        <is>
          <t>Nozzle X / Ruby</t>
        </is>
      </c>
      <c r="H16" s="104" t="n">
        <v>110</v>
      </c>
      <c r="I16" s="104" t="n">
        <v>300</v>
      </c>
      <c r="J16" s="105" t="inlineStr">
        <is>
          <t>Yes</t>
        </is>
      </c>
      <c r="K16" s="106" t="inlineStr">
        <is>
          <t>Yes</t>
        </is>
      </c>
      <c r="L16" s="104" t="n">
        <v>90</v>
      </c>
      <c r="M16" s="104" t="n">
        <v>12</v>
      </c>
      <c r="N16" s="107" t="inlineStr">
        <is>
          <t>High-temp PA + CF; Tg 180°C+. Extremely demanding — needs everything: dryer, enclosure, heated chamber, metal nozzle.</t>
        </is>
      </c>
    </row>
    <row r="17"/>
    <row r="18">
      <c r="A18" s="108" t="inlineStr">
        <is>
          <t>TIER COLOUR KEY</t>
        </is>
      </c>
      <c r="B18" s="109" t="inlineStr">
        <is>
          <t>Red J column = enclosure required  ·  Orange K column = drying required  ·  Red nozzle text = Ruby or Nozzle X required  ·  Green nozzle text = hardened steel required</t>
        </is>
      </c>
    </row>
    <row r="19">
      <c r="A19" s="110" t="inlineStr">
        <is>
          <t>Tier 1 — No upgrades (PLA/PETG/TPU)</t>
        </is>
      </c>
    </row>
    <row r="20">
      <c r="A20" s="111" t="inlineStr">
        <is>
          <t>Tier 2 — Hardened Nozzle (PLA-CF, PETG-CF)</t>
        </is>
      </c>
    </row>
    <row r="21">
      <c r="A21" s="112" t="inlineStr">
        <is>
          <t>Tier 3 — Sealed Enclosure (ABS, ASA)</t>
        </is>
      </c>
    </row>
    <row r="22">
      <c r="A22" s="113" t="inlineStr">
        <is>
          <t>Tier 4 — Dryer + All-Metal Hotend (Nylon PA12)</t>
        </is>
      </c>
    </row>
    <row r="23">
      <c r="A23" s="114" t="inlineStr">
        <is>
          <t>Tier 5 — Heated Chamber (PC, PAHT-CF)</t>
        </is>
      </c>
    </row>
    <row r="24">
      <c r="A24" s="115" t="inlineStr">
        <is>
          <t>Tier 6 — Full Industrial Kit (PC-CF)</t>
        </is>
      </c>
    </row>
  </sheetData>
  <mergeCells count="3">
    <mergeCell ref="A1:O1"/>
    <mergeCell ref="B18:N24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2" customWidth="1" min="3" max="3"/>
    <col width="6" customWidth="1" min="4" max="4"/>
    <col width="16" customWidth="1" min="5" max="5"/>
    <col width="16" customWidth="1" min="6" max="6"/>
    <col width="16" customWidth="1" min="7" max="7"/>
    <col width="36" customWidth="1" min="8" max="8"/>
    <col width="14" customWidth="1" min="9" max="9"/>
  </cols>
  <sheetData>
    <row r="1" ht="32" customHeight="1">
      <c r="A1" s="140" t="inlineStr">
        <is>
          <t>MORPHOGENESIS — CF &amp; Abrasive Filament Upgrade Kit</t>
        </is>
      </c>
      <c r="B1" s="141" t="n"/>
      <c r="C1" s="141" t="n"/>
      <c r="D1" s="141" t="n"/>
      <c r="E1" s="141" t="n"/>
      <c r="F1" s="141" t="n"/>
      <c r="G1" s="141" t="n"/>
      <c r="H1" s="141" t="n"/>
      <c r="I1" s="142" t="n"/>
    </row>
    <row r="2" ht="18" customHeight="1">
      <c r="A2" s="143" t="inlineStr">
        <is>
          <t>All upgrades to unlock CF, Nylon, PC and abrasive filament printing · Prices in CAD · May 2026</t>
        </is>
      </c>
      <c r="I2" s="144" t="n"/>
    </row>
    <row r="3" ht="36" customHeight="1">
      <c r="A3" s="122" t="inlineStr">
        <is>
          <t>Upgrade Item</t>
        </is>
      </c>
      <c r="B3" s="123" t="inlineStr">
        <is>
          <t>Category</t>
        </is>
      </c>
      <c r="C3" s="123" t="inlineStr">
        <is>
          <t>Why It’s Needed</t>
        </is>
      </c>
      <c r="D3" s="123" t="inlineStr">
        <is>
          <t>Qty</t>
        </is>
      </c>
      <c r="E3" s="123" t="inlineStr">
        <is>
          <t>Unit Price (CAD)</t>
        </is>
      </c>
      <c r="F3" s="123" t="inlineStr">
        <is>
          <t>Total (CAD)</t>
        </is>
      </c>
      <c r="G3" s="123" t="inlineStr">
        <is>
          <t>Supplier</t>
        </is>
      </c>
      <c r="H3" s="123" t="inlineStr">
        <is>
          <t>Part # / Search Term</t>
        </is>
      </c>
      <c r="I3" s="124" t="inlineStr">
        <is>
          <t>Priority</t>
        </is>
      </c>
    </row>
    <row r="4" ht="20" customHeight="1">
      <c r="A4" s="125" t="inlineStr">
        <is>
          <t>NOZZLES</t>
        </is>
      </c>
      <c r="B4" s="145" t="n"/>
      <c r="C4" s="145" t="n"/>
      <c r="D4" s="145" t="n"/>
      <c r="E4" s="145" t="n"/>
      <c r="F4" s="145" t="n"/>
      <c r="G4" s="145" t="n"/>
      <c r="H4" s="145" t="n"/>
      <c r="I4" s="146" t="n"/>
    </row>
    <row r="5">
      <c r="A5" s="126" t="inlineStr">
        <is>
          <t>E3D Hardened Steel Nozzle 0.4mm (V6)</t>
        </is>
      </c>
      <c r="B5" s="127" t="inlineStr">
        <is>
          <t>Nozzles</t>
        </is>
      </c>
      <c r="C5" s="128" t="inlineStr">
        <is>
          <t>Brass wears out in hours on CF/abrasive filaments</t>
        </is>
      </c>
      <c r="D5" s="129" t="n">
        <v>3</v>
      </c>
      <c r="E5" s="130" t="n">
        <v>12</v>
      </c>
      <c r="F5" s="130">
        <f>D5*E5</f>
        <v/>
      </c>
      <c r="G5" s="129" t="inlineStr">
        <is>
          <t>Amazon.ca</t>
        </is>
      </c>
      <c r="H5" s="128" t="inlineStr">
        <is>
          <t>"E3D hardened steel nozzle 0.4mm V6"</t>
        </is>
      </c>
      <c r="I5" s="131" t="inlineStr">
        <is>
          <t>Must Have</t>
        </is>
      </c>
    </row>
    <row r="6">
      <c r="A6" s="126" t="inlineStr">
        <is>
          <t>Hardened Steel Nozzle 0.6mm</t>
        </is>
      </c>
      <c r="B6" s="127" t="inlineStr">
        <is>
          <t>Nozzles</t>
        </is>
      </c>
      <c r="C6" s="128" t="inlineStr">
        <is>
          <t>Larger bore reduces CF clogs; better flow</t>
        </is>
      </c>
      <c r="D6" s="129" t="n">
        <v>2</v>
      </c>
      <c r="E6" s="130" t="n">
        <v>12</v>
      </c>
      <c r="F6" s="130">
        <f>D6*E6</f>
        <v/>
      </c>
      <c r="G6" s="129" t="inlineStr">
        <is>
          <t>Amazon.ca</t>
        </is>
      </c>
      <c r="H6" s="128" t="inlineStr">
        <is>
          <t>"hardened steel nozzle 0.6mm V6"</t>
        </is>
      </c>
      <c r="I6" s="132" t="inlineStr">
        <is>
          <t>Recommended</t>
        </is>
      </c>
    </row>
    <row r="7">
      <c r="A7" s="126" t="inlineStr">
        <is>
          <t>Hardened Steel Nozzle 0.8mm</t>
        </is>
      </c>
      <c r="B7" s="127" t="inlineStr">
        <is>
          <t>Nozzles</t>
        </is>
      </c>
      <c r="C7" s="128" t="inlineStr">
        <is>
          <t>Max flow for structural CF infill</t>
        </is>
      </c>
      <c r="D7" s="129" t="n">
        <v>1</v>
      </c>
      <c r="E7" s="130" t="n">
        <v>12</v>
      </c>
      <c r="F7" s="130">
        <f>D7*E7</f>
        <v/>
      </c>
      <c r="G7" s="129" t="inlineStr">
        <is>
          <t>Amazon.ca</t>
        </is>
      </c>
      <c r="H7" s="128" t="inlineStr">
        <is>
          <t>"hardened steel nozzle 0.8mm V6"</t>
        </is>
      </c>
      <c r="I7" s="133" t="inlineStr">
        <is>
          <t>Nice to Have</t>
        </is>
      </c>
    </row>
    <row r="8">
      <c r="A8" s="126" t="inlineStr">
        <is>
          <t>E3D Nozzle X 0.4mm</t>
        </is>
      </c>
      <c r="B8" s="127" t="inlineStr">
        <is>
          <t>Nozzles</t>
        </is>
      </c>
      <c r="C8" s="128" t="inlineStr">
        <is>
          <t>Tungsten carbide; outlasts standard hardened steel 5–10×</t>
        </is>
      </c>
      <c r="D8" s="129" t="n">
        <v>2</v>
      </c>
      <c r="E8" s="130" t="n">
        <v>34</v>
      </c>
      <c r="F8" s="130">
        <f>D8*E8</f>
        <v/>
      </c>
      <c r="G8" s="129" t="inlineStr">
        <is>
          <t>Amazon.ca</t>
        </is>
      </c>
      <c r="H8" s="128" t="inlineStr">
        <is>
          <t>"E3D Nozzle X 0.4mm"</t>
        </is>
      </c>
      <c r="I8" s="132" t="inlineStr">
        <is>
          <t>Recommended</t>
        </is>
      </c>
    </row>
    <row r="9">
      <c r="A9" s="126" t="inlineStr">
        <is>
          <t>Olsson Ruby Nozzle 0.4mm</t>
        </is>
      </c>
      <c r="B9" s="127" t="inlineStr">
        <is>
          <t>Nozzles</t>
        </is>
      </c>
      <c r="C9" s="128" t="inlineStr">
        <is>
          <t>Ruby tip; virtually indestructible; required for PAHT-CF/PC-CF at 300°C+</t>
        </is>
      </c>
      <c r="D9" s="129" t="n">
        <v>1</v>
      </c>
      <c r="E9" s="130" t="n">
        <v>95</v>
      </c>
      <c r="F9" s="130">
        <f>D9*E9</f>
        <v/>
      </c>
      <c r="G9" s="129" t="inlineStr">
        <is>
          <t>3DJake.ca</t>
        </is>
      </c>
      <c r="H9" s="128" t="inlineStr">
        <is>
          <t>"Olsson Ruby nozzle 0.4mm V6"</t>
        </is>
      </c>
      <c r="I9" s="133" t="inlineStr">
        <is>
          <t>Nice to Have</t>
        </is>
      </c>
    </row>
    <row r="10" ht="20" customHeight="1">
      <c r="A10" s="125" t="inlineStr">
        <is>
          <t>HOTEND PATH</t>
        </is>
      </c>
      <c r="B10" s="145" t="n"/>
      <c r="C10" s="145" t="n"/>
      <c r="D10" s="145" t="n"/>
      <c r="E10" s="145" t="n"/>
      <c r="F10" s="145" t="n"/>
      <c r="G10" s="145" t="n"/>
      <c r="H10" s="145" t="n"/>
      <c r="I10" s="146" t="n"/>
    </row>
    <row r="11">
      <c r="A11" s="126" t="inlineStr">
        <is>
          <t>Slice Engineering Copperhead Bi-Metal Heat Break</t>
        </is>
      </c>
      <c r="B11" s="127" t="inlineStr">
        <is>
          <t>Hotend Path</t>
        </is>
      </c>
      <c r="C11" s="128" t="inlineStr">
        <is>
          <t>Eliminates PTFE from hot zone; required for Nylon/PC above 240°C</t>
        </is>
      </c>
      <c r="D11" s="129" t="n">
        <v>1</v>
      </c>
      <c r="E11" s="130" t="n">
        <v>38</v>
      </c>
      <c r="F11" s="130">
        <f>D11*E11</f>
        <v/>
      </c>
      <c r="G11" s="129" t="inlineStr">
        <is>
          <t>Amazon.ca</t>
        </is>
      </c>
      <c r="H11" s="128" t="inlineStr">
        <is>
          <t>"Slice Engineering Copperhead heat break"</t>
        </is>
      </c>
      <c r="I11" s="131" t="inlineStr">
        <is>
          <t>Must Have</t>
        </is>
      </c>
    </row>
    <row r="12">
      <c r="A12" s="126" t="inlineStr">
        <is>
          <t>E3D Titanium Heat Break V6</t>
        </is>
      </c>
      <c r="B12" s="127" t="inlineStr">
        <is>
          <t>Hotend Path</t>
        </is>
      </c>
      <c r="C12" s="128" t="inlineStr">
        <is>
          <t>Budget all-metal alternative to Copperhead</t>
        </is>
      </c>
      <c r="D12" s="129" t="n">
        <v>1</v>
      </c>
      <c r="E12" s="130" t="n">
        <v>18</v>
      </c>
      <c r="F12" s="130">
        <f>D12*E12</f>
        <v/>
      </c>
      <c r="G12" s="129" t="inlineStr">
        <is>
          <t>Amazon.ca</t>
        </is>
      </c>
      <c r="H12" s="128" t="inlineStr">
        <is>
          <t>"E3D titanium heat break V6"</t>
        </is>
      </c>
      <c r="I12" s="132" t="inlineStr">
        <is>
          <t>Recommended</t>
        </is>
      </c>
    </row>
    <row r="13">
      <c r="A13" s="126" t="inlineStr">
        <is>
          <t>High-Temp Silicone Sock Rapido/Dragon HF (3-pack)</t>
        </is>
      </c>
      <c r="B13" s="127" t="inlineStr">
        <is>
          <t>Hotend Path</t>
        </is>
      </c>
      <c r="C13" s="128" t="inlineStr">
        <is>
          <t>Insulates heat block; stabilizes temp during high-temp prints</t>
        </is>
      </c>
      <c r="D13" s="129" t="n">
        <v>3</v>
      </c>
      <c r="E13" s="130" t="n">
        <v>5</v>
      </c>
      <c r="F13" s="130">
        <f>D13*E13</f>
        <v/>
      </c>
      <c r="G13" s="129" t="inlineStr">
        <is>
          <t>AliExpress</t>
        </is>
      </c>
      <c r="H13" s="128" t="inlineStr">
        <is>
          <t>"silicone sock Rapido HF hotend"</t>
        </is>
      </c>
      <c r="I13" s="131" t="inlineStr">
        <is>
          <t>Must Have</t>
        </is>
      </c>
    </row>
    <row r="14" ht="20" customHeight="1">
      <c r="A14" s="125" t="inlineStr">
        <is>
          <t>EXTRUDER</t>
        </is>
      </c>
      <c r="B14" s="145" t="n"/>
      <c r="C14" s="145" t="n"/>
      <c r="D14" s="145" t="n"/>
      <c r="E14" s="145" t="n"/>
      <c r="F14" s="145" t="n"/>
      <c r="G14" s="145" t="n"/>
      <c r="H14" s="145" t="n"/>
      <c r="I14" s="146" t="n"/>
    </row>
    <row r="15">
      <c r="A15" s="126" t="inlineStr">
        <is>
          <t>Hardened Steel BMG/Orbiter Drive Gears</t>
        </is>
      </c>
      <c r="B15" s="127" t="inlineStr">
        <is>
          <t>Extruder</t>
        </is>
      </c>
      <c r="C15" s="128" t="inlineStr">
        <is>
          <t>Standard brass gears strip on CF within one spool</t>
        </is>
      </c>
      <c r="D15" s="129" t="n">
        <v>1</v>
      </c>
      <c r="E15" s="130" t="n">
        <v>28</v>
      </c>
      <c r="F15" s="130">
        <f>D15*E15</f>
        <v/>
      </c>
      <c r="G15" s="129" t="inlineStr">
        <is>
          <t>Amazon.ca</t>
        </is>
      </c>
      <c r="H15" s="128" t="inlineStr">
        <is>
          <t>"hardened steel BMG extruder gears"</t>
        </is>
      </c>
      <c r="I15" s="131" t="inlineStr">
        <is>
          <t>Must Have</t>
        </is>
      </c>
    </row>
    <row r="16">
      <c r="A16" s="126" t="inlineStr">
        <is>
          <t>NEMA 17 55Ncm High-Torque Extruder Motor</t>
        </is>
      </c>
      <c r="B16" s="127" t="inlineStr">
        <is>
          <t>Extruder</t>
        </is>
      </c>
      <c r="C16" s="128" t="inlineStr">
        <is>
          <t>CF filaments have higher feed resistance</t>
        </is>
      </c>
      <c r="D16" s="129" t="n">
        <v>1</v>
      </c>
      <c r="E16" s="130" t="n">
        <v>22</v>
      </c>
      <c r="F16" s="130">
        <f>D16*E16</f>
        <v/>
      </c>
      <c r="G16" s="129" t="inlineStr">
        <is>
          <t>Amazon.ca</t>
        </is>
      </c>
      <c r="H16" s="128" t="inlineStr">
        <is>
          <t>"NEMA 17 stepper 55Ncm extruder"</t>
        </is>
      </c>
      <c r="I16" s="132" t="inlineStr">
        <is>
          <t>Recommended</t>
        </is>
      </c>
    </row>
    <row r="17" ht="20" customHeight="1">
      <c r="A17" s="125" t="inlineStr">
        <is>
          <t>FILAMENT DRYING</t>
        </is>
      </c>
      <c r="B17" s="145" t="n"/>
      <c r="C17" s="145" t="n"/>
      <c r="D17" s="145" t="n"/>
      <c r="E17" s="145" t="n"/>
      <c r="F17" s="145" t="n"/>
      <c r="G17" s="145" t="n"/>
      <c r="H17" s="145" t="n"/>
      <c r="I17" s="146" t="n"/>
    </row>
    <row r="18">
      <c r="A18" s="126" t="inlineStr">
        <is>
          <t>Sunlu FilaDryer S2 (2-spool active dryer)</t>
        </is>
      </c>
      <c r="B18" s="127" t="inlineStr">
        <is>
          <t>Filament Drying</t>
        </is>
      </c>
      <c r="C18" s="128" t="inlineStr">
        <is>
          <t>Nylon/PC/PA-CF must be printed dry; live feed from dryer</t>
        </is>
      </c>
      <c r="D18" s="129" t="n">
        <v>1</v>
      </c>
      <c r="E18" s="130" t="n">
        <v>72</v>
      </c>
      <c r="F18" s="130">
        <f>D18*E18</f>
        <v/>
      </c>
      <c r="G18" s="129" t="inlineStr">
        <is>
          <t>Amazon.ca</t>
        </is>
      </c>
      <c r="H18" s="128" t="inlineStr">
        <is>
          <t>"Sunlu FilaDryer S2 filament dryer"</t>
        </is>
      </c>
      <c r="I18" s="131" t="inlineStr">
        <is>
          <t>Must Have</t>
        </is>
      </c>
    </row>
    <row r="19">
      <c r="A19" s="126" t="inlineStr">
        <is>
          <t>Sunlu FilaDryer S4 (4-spool upgrade)</t>
        </is>
      </c>
      <c r="B19" s="127" t="inlineStr">
        <is>
          <t>Filament Drying</t>
        </is>
      </c>
      <c r="C19" s="128" t="inlineStr">
        <is>
          <t>Keeps 4 spools dry simultaneously for multi-material workflows</t>
        </is>
      </c>
      <c r="D19" s="129" t="n">
        <v>1</v>
      </c>
      <c r="E19" s="130" t="n">
        <v>95</v>
      </c>
      <c r="F19" s="130">
        <f>D19*E19</f>
        <v/>
      </c>
      <c r="G19" s="129" t="inlineStr">
        <is>
          <t>Amazon.ca</t>
        </is>
      </c>
      <c r="H19" s="128" t="inlineStr">
        <is>
          <t>"Sunlu FilaDryer S4 4 spool"</t>
        </is>
      </c>
      <c r="I19" s="132" t="inlineStr">
        <is>
          <t>Recommended</t>
        </is>
      </c>
    </row>
    <row r="20">
      <c r="A20" s="126" t="inlineStr">
        <is>
          <t>eSUN eBOX Plus Dryer/Feeder with Scale</t>
        </is>
      </c>
      <c r="B20" s="127" t="inlineStr">
        <is>
          <t>Filament Drying</t>
        </is>
      </c>
      <c r="C20" s="128" t="inlineStr">
        <is>
          <t>Alternative dryer with built-in weight scale</t>
        </is>
      </c>
      <c r="D20" s="129" t="n">
        <v>1</v>
      </c>
      <c r="E20" s="130" t="n">
        <v>68</v>
      </c>
      <c r="F20" s="130">
        <f>D20*E20</f>
        <v/>
      </c>
      <c r="G20" s="129" t="inlineStr">
        <is>
          <t>Amazon.ca</t>
        </is>
      </c>
      <c r="H20" s="128" t="inlineStr">
        <is>
          <t>"eSUN eBOX Plus filament dryer"</t>
        </is>
      </c>
      <c r="I20" s="133" t="inlineStr">
        <is>
          <t>Nice to Have</t>
        </is>
      </c>
    </row>
    <row r="21">
      <c r="A21" s="126" t="inlineStr">
        <is>
          <t>Silica Gel 500g Orange Indicating (×3 bags)</t>
        </is>
      </c>
      <c r="B21" s="127" t="inlineStr">
        <is>
          <t>Filament Drying</t>
        </is>
      </c>
      <c r="C21" s="128" t="inlineStr">
        <is>
          <t>Absorbs moisture in storage; rechargeable</t>
        </is>
      </c>
      <c r="D21" s="129" t="n">
        <v>3</v>
      </c>
      <c r="E21" s="130" t="n">
        <v>14</v>
      </c>
      <c r="F21" s="130">
        <f>D21*E21</f>
        <v/>
      </c>
      <c r="G21" s="129" t="inlineStr">
        <is>
          <t>Amazon.ca</t>
        </is>
      </c>
      <c r="H21" s="128" t="inlineStr">
        <is>
          <t>"silica gel 500g orange indicating"</t>
        </is>
      </c>
      <c r="I21" s="131" t="inlineStr">
        <is>
          <t>Must Have</t>
        </is>
      </c>
    </row>
    <row r="22">
      <c r="A22" s="126" t="inlineStr">
        <is>
          <t>Vacuum Seal Bags + Hand Pump 10-pack</t>
        </is>
      </c>
      <c r="B22" s="127" t="inlineStr">
        <is>
          <t>Filament Drying</t>
        </is>
      </c>
      <c r="C22" s="128" t="inlineStr">
        <is>
          <t>Vacuum sealing keeps opened spools bone-dry</t>
        </is>
      </c>
      <c r="D22" s="129" t="n">
        <v>1</v>
      </c>
      <c r="E22" s="130" t="n">
        <v>18</v>
      </c>
      <c r="F22" s="130">
        <f>D22*E22</f>
        <v/>
      </c>
      <c r="G22" s="129" t="inlineStr">
        <is>
          <t>Amazon.ca</t>
        </is>
      </c>
      <c r="H22" s="128" t="inlineStr">
        <is>
          <t>"vacuum seal storage bags 10 pack pump"</t>
        </is>
      </c>
      <c r="I22" s="132" t="inlineStr">
        <is>
          <t>Recommended</t>
        </is>
      </c>
    </row>
    <row r="23">
      <c r="A23" s="126" t="inlineStr">
        <is>
          <t>Iris USA Airtight Container 12qt (×4)</t>
        </is>
      </c>
      <c r="B23" s="127" t="inlineStr">
        <is>
          <t>Filament Drying</t>
        </is>
      </c>
      <c r="C23" s="128" t="inlineStr">
        <is>
          <t>Rigid airtight dry storage; 1 spool per container + silica</t>
        </is>
      </c>
      <c r="D23" s="129" t="n">
        <v>4</v>
      </c>
      <c r="E23" s="130" t="n">
        <v>16</v>
      </c>
      <c r="F23" s="130">
        <f>D23*E23</f>
        <v/>
      </c>
      <c r="G23" s="129" t="inlineStr">
        <is>
          <t>Amazon.ca</t>
        </is>
      </c>
      <c r="H23" s="128" t="inlineStr">
        <is>
          <t>"Iris USA 12qt airtight storage container"</t>
        </is>
      </c>
      <c r="I23" s="132" t="inlineStr">
        <is>
          <t>Recommended</t>
        </is>
      </c>
    </row>
    <row r="24" ht="20" customHeight="1">
      <c r="A24" s="125" t="inlineStr">
        <is>
          <t>ENCLOSURE &amp; FUME CONTROL</t>
        </is>
      </c>
      <c r="B24" s="145" t="n"/>
      <c r="C24" s="145" t="n"/>
      <c r="D24" s="145" t="n"/>
      <c r="E24" s="145" t="n"/>
      <c r="F24" s="145" t="n"/>
      <c r="G24" s="145" t="n"/>
      <c r="H24" s="145" t="n"/>
      <c r="I24" s="146" t="n"/>
    </row>
    <row r="25">
      <c r="A25" s="126" t="inlineStr">
        <is>
          <t>Foam Weatherstrip Tape 6mm×3mm Self-Adhesive 5m (×2)</t>
        </is>
      </c>
      <c r="B25" s="127" t="inlineStr">
        <is>
          <t>Enclosure</t>
        </is>
      </c>
      <c r="C25" s="128" t="inlineStr">
        <is>
          <t>Seals panel gaps; retains heat; contains ABS/ASA/Nylon fumes</t>
        </is>
      </c>
      <c r="D25" s="129" t="n">
        <v>2</v>
      </c>
      <c r="E25" s="130" t="n">
        <v>8</v>
      </c>
      <c r="F25" s="130">
        <f>D25*E25</f>
        <v/>
      </c>
      <c r="G25" s="129" t="inlineStr">
        <is>
          <t>Amazon.ca</t>
        </is>
      </c>
      <c r="H25" s="128" t="inlineStr">
        <is>
          <t>"foam weatherstrip tape self-adhesive 6mm 3mm 5m"</t>
        </is>
      </c>
      <c r="I25" s="131" t="inlineStr">
        <is>
          <t>Must Have</t>
        </is>
      </c>
    </row>
    <row r="26">
      <c r="A26" s="126" t="inlineStr">
        <is>
          <t>60mm Exhaust Fan 24V</t>
        </is>
      </c>
      <c r="B26" s="127" t="inlineStr">
        <is>
          <t>Enclosure</t>
        </is>
      </c>
      <c r="C26" s="128" t="inlineStr">
        <is>
          <t>Vents chamber fumes through filter; run during ABS/ASA/Nylon</t>
        </is>
      </c>
      <c r="D26" s="129" t="n">
        <v>1</v>
      </c>
      <c r="E26" s="130" t="n">
        <v>12</v>
      </c>
      <c r="F26" s="130">
        <f>D26*E26</f>
        <v/>
      </c>
      <c r="G26" s="129" t="inlineStr">
        <is>
          <t>Amazon.ca</t>
        </is>
      </c>
      <c r="H26" s="128" t="inlineStr">
        <is>
          <t>"60mm fan 24V exhaust 3D printer"</t>
        </is>
      </c>
      <c r="I26" s="131" t="inlineStr">
        <is>
          <t>Must Have</t>
        </is>
      </c>
    </row>
    <row r="27">
      <c r="A27" s="126" t="inlineStr">
        <is>
          <t>Activated Carbon + HEPA Filter Module 60mm</t>
        </is>
      </c>
      <c r="B27" s="127" t="inlineStr">
        <is>
          <t>Enclosure</t>
        </is>
      </c>
      <c r="C27" s="128" t="inlineStr">
        <is>
          <t>Removes VOCs and particulates from exhaust</t>
        </is>
      </c>
      <c r="D27" s="129" t="n">
        <v>1</v>
      </c>
      <c r="E27" s="130" t="n">
        <v>22</v>
      </c>
      <c r="F27" s="130">
        <f>D27*E27</f>
        <v/>
      </c>
      <c r="G27" s="129" t="inlineStr">
        <is>
          <t>Amazon.ca</t>
        </is>
      </c>
      <c r="H27" s="128" t="inlineStr">
        <is>
          <t>"60mm activated carbon HEPA filter 3D printer"</t>
        </is>
      </c>
      <c r="I27" s="131" t="inlineStr">
        <is>
          <t>Must Have</t>
        </is>
      </c>
    </row>
    <row r="28">
      <c r="A28" s="126" t="inlineStr">
        <is>
          <t>Nevermore Micro V5 Recirculating Carbon Filter</t>
        </is>
      </c>
      <c r="B28" s="127" t="inlineStr">
        <is>
          <t>Enclosure</t>
        </is>
      </c>
      <c r="C28" s="128" t="inlineStr">
        <is>
          <t>Recirculates chamber air through carbon; reduces internal VOC buildup</t>
        </is>
      </c>
      <c r="D28" s="129" t="n">
        <v>1</v>
      </c>
      <c r="E28" s="130" t="n">
        <v>45</v>
      </c>
      <c r="F28" s="130">
        <f>D28*E28</f>
        <v/>
      </c>
      <c r="G28" s="129" t="inlineStr">
        <is>
          <t>Amazon.ca</t>
        </is>
      </c>
      <c r="H28" s="128" t="inlineStr">
        <is>
          <t>"Nevermore Micro V5 carbon filter"</t>
        </is>
      </c>
      <c r="I28" s="132" t="inlineStr">
        <is>
          <t>Recommended</t>
        </is>
      </c>
    </row>
    <row r="29" ht="20" customHeight="1">
      <c r="A29" s="125" t="inlineStr">
        <is>
          <t>CHAMBER HEATING (Tier 5 — Unlocks PC / PAHT-CF)</t>
        </is>
      </c>
      <c r="B29" s="145" t="n"/>
      <c r="C29" s="145" t="n"/>
      <c r="D29" s="145" t="n"/>
      <c r="E29" s="145" t="n"/>
      <c r="F29" s="145" t="n"/>
      <c r="G29" s="145" t="n"/>
      <c r="H29" s="145" t="n"/>
      <c r="I29" s="146" t="n"/>
    </row>
    <row r="30">
      <c r="A30" s="126" t="inlineStr">
        <is>
          <t>PTC Ceramic Chamber Heater 220V 200W</t>
        </is>
      </c>
      <c r="B30" s="127" t="inlineStr">
        <is>
          <t>Chamber Heating</t>
        </is>
      </c>
      <c r="C30" s="128" t="inlineStr">
        <is>
          <t>Raises chamber to 45–60°C; eliminates PC warping</t>
        </is>
      </c>
      <c r="D30" s="129" t="n">
        <v>1</v>
      </c>
      <c r="E30" s="130" t="n">
        <v>28</v>
      </c>
      <c r="F30" s="130">
        <f>D30*E30</f>
        <v/>
      </c>
      <c r="G30" s="129" t="inlineStr">
        <is>
          <t>Amazon.ca</t>
        </is>
      </c>
      <c r="H30" s="128" t="inlineStr">
        <is>
          <t>"PTC ceramic heater 220V 200W 3D printer chamber"</t>
        </is>
      </c>
      <c r="I30" s="132" t="inlineStr">
        <is>
          <t>Recommended</t>
        </is>
      </c>
    </row>
    <row r="31">
      <c r="A31" s="126" t="inlineStr">
        <is>
          <t>Solid State Relay SSR-25DA (chamber heater control)</t>
        </is>
      </c>
      <c r="B31" s="127" t="inlineStr">
        <is>
          <t>Chamber Heating</t>
        </is>
      </c>
      <c r="C31" s="128" t="inlineStr">
        <is>
          <t>Klipper switches 220V chamber heater via temp PID</t>
        </is>
      </c>
      <c r="D31" s="129" t="n">
        <v>1</v>
      </c>
      <c r="E31" s="130" t="n">
        <v>14</v>
      </c>
      <c r="F31" s="130">
        <f>D31*E31</f>
        <v/>
      </c>
      <c r="G31" s="129" t="inlineStr">
        <is>
          <t>Amazon.ca</t>
        </is>
      </c>
      <c r="H31" s="128" t="inlineStr">
        <is>
          <t>"SSR-25DA solid state relay 25A"</t>
        </is>
      </c>
      <c r="I31" s="132" t="inlineStr">
        <is>
          <t>Recommended</t>
        </is>
      </c>
    </row>
    <row r="32">
      <c r="A32" s="126" t="inlineStr">
        <is>
          <t>NTC 100K Thermistor Chamber Sensor (×2)</t>
        </is>
      </c>
      <c r="B32" s="127" t="inlineStr">
        <is>
          <t>Chamber Heating</t>
        </is>
      </c>
      <c r="C32" s="128" t="inlineStr">
        <is>
          <t>Closed-loop Klipper chamber temp control</t>
        </is>
      </c>
      <c r="D32" s="129" t="n">
        <v>2</v>
      </c>
      <c r="E32" s="130" t="n">
        <v>6</v>
      </c>
      <c r="F32" s="130">
        <f>D32*E32</f>
        <v/>
      </c>
      <c r="G32" s="129" t="inlineStr">
        <is>
          <t>Amazon.ca</t>
        </is>
      </c>
      <c r="H32" s="128" t="inlineStr">
        <is>
          <t>"NTC 100K thermistor 3D printer chamber"</t>
        </is>
      </c>
      <c r="I32" s="132" t="inlineStr">
        <is>
          <t>Recommended</t>
        </is>
      </c>
    </row>
    <row r="33" ht="20" customHeight="1">
      <c r="A33" s="125" t="inlineStr">
        <is>
          <t>BED SURFACES FOR CF / NYLON / PC</t>
        </is>
      </c>
      <c r="B33" s="145" t="n"/>
      <c r="C33" s="145" t="n"/>
      <c r="D33" s="145" t="n"/>
      <c r="E33" s="145" t="n"/>
      <c r="F33" s="145" t="n"/>
      <c r="G33" s="145" t="n"/>
      <c r="H33" s="145" t="n"/>
      <c r="I33" s="146" t="n"/>
    </row>
    <row r="34">
      <c r="A34" s="126" t="inlineStr">
        <is>
          <t>Garolite G10 Sheet 300×300mm 1.5mm</t>
        </is>
      </c>
      <c r="B34" s="127" t="inlineStr">
        <is>
          <t>Bed Surfaces</t>
        </is>
      </c>
      <c r="C34" s="128" t="inlineStr">
        <is>
          <t>Best Nylon adhesion surface; releases cleanly when cool</t>
        </is>
      </c>
      <c r="D34" s="129" t="n">
        <v>1</v>
      </c>
      <c r="E34" s="130" t="n">
        <v>38</v>
      </c>
      <c r="F34" s="130">
        <f>D34*E34</f>
        <v/>
      </c>
      <c r="G34" s="129" t="inlineStr">
        <is>
          <t>Amazon.ca</t>
        </is>
      </c>
      <c r="H34" s="128" t="inlineStr">
        <is>
          <t>"Garolite G10 sheet 300x300mm 1.5mm"</t>
        </is>
      </c>
      <c r="I34" s="132" t="inlineStr">
        <is>
          <t>Recommended</t>
        </is>
      </c>
    </row>
    <row r="35">
      <c r="A35" s="126" t="inlineStr">
        <is>
          <t>Elmer’s Purple Glue Stick 12-pack</t>
        </is>
      </c>
      <c r="B35" s="127" t="inlineStr">
        <is>
          <t>Bed Surfaces</t>
        </is>
      </c>
      <c r="C35" s="128" t="inlineStr">
        <is>
          <t>Release agent for PC on PEI; prevents sheet delamination</t>
        </is>
      </c>
      <c r="D35" s="129" t="n">
        <v>1</v>
      </c>
      <c r="E35" s="130" t="n">
        <v>8</v>
      </c>
      <c r="F35" s="130">
        <f>D35*E35</f>
        <v/>
      </c>
      <c r="G35" s="129" t="inlineStr">
        <is>
          <t>Amazon.ca</t>
        </is>
      </c>
      <c r="H35" s="128" t="inlineStr">
        <is>
          <t>"Elmer's purple glue stick school glue"</t>
        </is>
      </c>
      <c r="I35" s="131" t="inlineStr">
        <is>
          <t>Must Have</t>
        </is>
      </c>
    </row>
    <row r="36" ht="20" customHeight="1">
      <c r="A36" s="125" t="inlineStr">
        <is>
          <t>NOZZLE MAINTENANCE</t>
        </is>
      </c>
      <c r="B36" s="145" t="n"/>
      <c r="C36" s="145" t="n"/>
      <c r="D36" s="145" t="n"/>
      <c r="E36" s="145" t="n"/>
      <c r="F36" s="145" t="n"/>
      <c r="G36" s="145" t="n"/>
      <c r="H36" s="145" t="n"/>
      <c r="I36" s="146" t="n"/>
    </row>
    <row r="37">
      <c r="A37" s="126" t="inlineStr">
        <is>
          <t>Brass Wire Nozzle Cleaning Brush (×2)</t>
        </is>
      </c>
      <c r="B37" s="127" t="inlineStr">
        <is>
          <t>Maintenance</t>
        </is>
      </c>
      <c r="C37" s="128" t="inlineStr">
        <is>
          <t>Removes CF char from nozzle tip without damaging geometry</t>
        </is>
      </c>
      <c r="D37" s="129" t="n">
        <v>2</v>
      </c>
      <c r="E37" s="130" t="n">
        <v>7</v>
      </c>
      <c r="F37" s="130">
        <f>D37*E37</f>
        <v/>
      </c>
      <c r="G37" s="129" t="inlineStr">
        <is>
          <t>Amazon.ca</t>
        </is>
      </c>
      <c r="H37" s="128" t="inlineStr">
        <is>
          <t>"brass wire brush nozzle cleaning 3D printer"</t>
        </is>
      </c>
      <c r="I37" s="131" t="inlineStr">
        <is>
          <t>Must Have</t>
        </is>
      </c>
    </row>
    <row r="38">
      <c r="A38" s="126" t="inlineStr">
        <is>
          <t>Nozzle Cleaning Needle Set 0.3/0.4/0.5mm 10pcs</t>
        </is>
      </c>
      <c r="B38" s="127" t="inlineStr">
        <is>
          <t>Maintenance</t>
        </is>
      </c>
      <c r="C38" s="128" t="inlineStr">
        <is>
          <t>Clears partial clogs; insert at 200°C before cold pull</t>
        </is>
      </c>
      <c r="D38" s="129" t="n">
        <v>1</v>
      </c>
      <c r="E38" s="130" t="n">
        <v>9</v>
      </c>
      <c r="F38" s="130">
        <f>D38*E38</f>
        <v/>
      </c>
      <c r="G38" s="129" t="inlineStr">
        <is>
          <t>Amazon.ca</t>
        </is>
      </c>
      <c r="H38" s="128" t="inlineStr">
        <is>
          <t>"nozzle cleaning needle 0.4mm 10 pack"</t>
        </is>
      </c>
      <c r="I38" s="131" t="inlineStr">
        <is>
          <t>Must Have</t>
        </is>
      </c>
    </row>
    <row r="39">
      <c r="A39" s="126" t="inlineStr">
        <is>
          <t>Natural Nylon Filament 1.75mm 100g (cold pull)</t>
        </is>
      </c>
      <c r="B39" s="127" t="inlineStr">
        <is>
          <t>Maintenance</t>
        </is>
      </c>
      <c r="C39" s="128" t="inlineStr">
        <is>
          <t>Best cold pull medium for clearing CF char from hotend</t>
        </is>
      </c>
      <c r="D39" s="129" t="n">
        <v>1</v>
      </c>
      <c r="E39" s="130" t="n">
        <v>15</v>
      </c>
      <c r="F39" s="130">
        <f>D39*E39</f>
        <v/>
      </c>
      <c r="G39" s="129" t="inlineStr">
        <is>
          <t>Amazon.ca</t>
        </is>
      </c>
      <c r="H39" s="128" t="inlineStr">
        <is>
          <t>"natural Nylon 1.75mm 100g cold pull filament"</t>
        </is>
      </c>
      <c r="I39" s="132" t="inlineStr">
        <is>
          <t>Recommended</t>
        </is>
      </c>
    </row>
    <row r="40">
      <c r="A40" s="126" t="inlineStr">
        <is>
          <t>Capricorn XS PTFE Tube 1.75mm 1m</t>
        </is>
      </c>
      <c r="B40" s="127" t="inlineStr">
        <is>
          <t>Maintenance</t>
        </is>
      </c>
      <c r="C40" s="128" t="inlineStr">
        <is>
          <t>Tighter 1.9mm ID for feed-path section before extruder</t>
        </is>
      </c>
      <c r="D40" s="129" t="n">
        <v>1</v>
      </c>
      <c r="E40" s="130" t="n">
        <v>16</v>
      </c>
      <c r="F40" s="130">
        <f>D40*E40</f>
        <v/>
      </c>
      <c r="G40" s="129" t="inlineStr">
        <is>
          <t>Amazon.ca</t>
        </is>
      </c>
      <c r="H40" s="128" t="inlineStr">
        <is>
          <t>"Capricorn XS PTFE tube 1.75mm 1m"</t>
        </is>
      </c>
      <c r="I40" s="132" t="inlineStr">
        <is>
          <t>Recommended</t>
        </is>
      </c>
    </row>
    <row r="41">
      <c r="A41" s="38" t="n"/>
      <c r="B41" s="17" t="n"/>
      <c r="C41" s="17" t="n"/>
      <c r="D41" s="17" t="n"/>
      <c r="E41" s="17" t="n"/>
      <c r="F41" s="17" t="n"/>
      <c r="G41" s="17" t="n"/>
      <c r="H41" s="17" t="n"/>
      <c r="I41" s="18" t="n"/>
    </row>
    <row r="42" ht="24" customHeight="1">
      <c r="A42" s="134" t="inlineStr">
        <is>
          <t>TOTAL CF UPGRADE KIT COST</t>
        </is>
      </c>
      <c r="B42" s="147" t="n"/>
      <c r="C42" s="147" t="n"/>
      <c r="D42" s="147" t="n"/>
      <c r="E42" s="148" t="n"/>
      <c r="F42" s="136">
        <f>SUM(F5:F9,F11:F13,F15:F16,F18:F23,F25:F28,F30:F32,F34:F35,F37:F40)</f>
        <v/>
      </c>
      <c r="G42" s="137" t="n"/>
      <c r="H42" s="137" t="n"/>
      <c r="I42" s="138" t="n"/>
    </row>
    <row r="43" ht="28" customHeight="1">
      <c r="A43" s="139" t="inlineStr">
        <is>
          <t>Note: Priority ratings assume a functional base Morphogenesis build. Upgrade in tier order: Nozzles → Hotend Path → Extruder → Drying → Enclosure → Chamber Heating for best results.</t>
        </is>
      </c>
    </row>
  </sheetData>
  <mergeCells count="12">
    <mergeCell ref="A29:I29"/>
    <mergeCell ref="A43:I43"/>
    <mergeCell ref="A2:I2"/>
    <mergeCell ref="A33:I33"/>
    <mergeCell ref="A10:I10"/>
    <mergeCell ref="A36:I36"/>
    <mergeCell ref="A14:I14"/>
    <mergeCell ref="A42:E42"/>
    <mergeCell ref="A1:I1"/>
    <mergeCell ref="A17:I17"/>
    <mergeCell ref="A4:I4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6" customWidth="1" min="4" max="4"/>
    <col width="16" customWidth="1" min="5" max="5"/>
    <col width="20" customWidth="1" min="6" max="6"/>
    <col width="16" customWidth="1" min="7" max="7"/>
    <col width="50" customWidth="1" min="8" max="8"/>
  </cols>
  <sheetData>
    <row r="1" ht="32" customHeight="1">
      <c r="A1" s="140" t="inlineStr">
        <is>
          <t>MORPHOGENESIS — Ongoing Printer Supply Checklist</t>
        </is>
      </c>
      <c r="B1" s="141" t="n"/>
      <c r="C1" s="141" t="n"/>
      <c r="D1" s="141" t="n"/>
      <c r="E1" s="141" t="n"/>
      <c r="F1" s="141" t="n"/>
      <c r="G1" s="141" t="n"/>
      <c r="H1" s="142" t="n"/>
    </row>
    <row r="2" ht="18" customHeight="1">
      <c r="A2" s="143" t="inlineStr">
        <is>
          <t>Consumables, tools, safety gear, and spare parts · Reorder frequencies assume ~20hrs/week print volume · Prices in CAD</t>
        </is>
      </c>
      <c r="H2" s="144" t="n"/>
    </row>
    <row r="3" ht="36" customHeight="1">
      <c r="A3" s="122" t="inlineStr">
        <is>
          <t>Item</t>
        </is>
      </c>
      <c r="B3" s="123" t="inlineStr">
        <is>
          <t>Category</t>
        </is>
      </c>
      <c r="C3" s="123" t="inlineStr">
        <is>
          <t>Qty to Stock</t>
        </is>
      </c>
      <c r="D3" s="123" t="inlineStr">
        <is>
          <t>Unit Price (CAD)</t>
        </is>
      </c>
      <c r="E3" s="123" t="inlineStr">
        <is>
          <t>Total (CAD)</t>
        </is>
      </c>
      <c r="F3" s="123" t="inlineStr">
        <is>
          <t>Reorder Frequency</t>
        </is>
      </c>
      <c r="G3" s="123" t="inlineStr">
        <is>
          <t>Supplier</t>
        </is>
      </c>
      <c r="H3" s="124" t="inlineStr">
        <is>
          <t>Notes</t>
        </is>
      </c>
    </row>
    <row r="4" ht="20" customHeight="1">
      <c r="A4" s="125" t="inlineStr">
        <is>
          <t>ADHESION SUPPLIES</t>
        </is>
      </c>
      <c r="B4" s="145" t="n"/>
      <c r="C4" s="145" t="n"/>
      <c r="D4" s="145" t="n"/>
      <c r="E4" s="145" t="n"/>
      <c r="F4" s="145" t="n"/>
      <c r="G4" s="145" t="n"/>
      <c r="H4" s="146" t="n"/>
    </row>
    <row r="5">
      <c r="A5" s="149" t="inlineStr">
        <is>
          <t>Magigoo Original Adhesive Stick</t>
        </is>
      </c>
      <c r="B5" s="150" t="inlineStr">
        <is>
          <t>Adhesion</t>
        </is>
      </c>
      <c r="C5" s="151" t="n">
        <v>2</v>
      </c>
      <c r="D5" s="152" t="n">
        <v>18</v>
      </c>
      <c r="E5" s="152">
        <f>C5*D5</f>
        <v/>
      </c>
      <c r="F5" s="153" t="inlineStr">
        <is>
          <t>Every 6 months</t>
        </is>
      </c>
      <c r="G5" s="153" t="inlineStr">
        <is>
          <t>Amazon.ca</t>
        </is>
      </c>
      <c r="H5" s="154" t="inlineStr">
        <is>
          <t>Apply to warm bed; wipe with warm water; excellent for PLA/PETG/ABS</t>
        </is>
      </c>
    </row>
    <row r="6">
      <c r="A6" s="155" t="inlineStr">
        <is>
          <t>Magigoo PC Formula</t>
        </is>
      </c>
      <c r="B6" s="156" t="inlineStr">
        <is>
          <t>Adhesion</t>
        </is>
      </c>
      <c r="C6" s="157" t="n">
        <v>1</v>
      </c>
      <c r="D6" s="158" t="n">
        <v>22</v>
      </c>
      <c r="E6" s="158">
        <f>C6*D6</f>
        <v/>
      </c>
      <c r="F6" s="159" t="inlineStr">
        <is>
          <t>Every 6–12 months</t>
        </is>
      </c>
      <c r="G6" s="159" t="inlineStr">
        <is>
          <t>Amazon.ca</t>
        </is>
      </c>
      <c r="H6" s="160" t="inlineStr">
        <is>
          <t>PC-specific formula; far superior to glue stick for polycarbonate</t>
        </is>
      </c>
    </row>
    <row r="7">
      <c r="A7" s="149" t="inlineStr">
        <is>
          <t>3DLAC Adhesion Spray 400ml</t>
        </is>
      </c>
      <c r="B7" s="150" t="inlineStr">
        <is>
          <t>Adhesion</t>
        </is>
      </c>
      <c r="C7" s="151" t="n">
        <v>1</v>
      </c>
      <c r="D7" s="152" t="n">
        <v>20</v>
      </c>
      <c r="E7" s="152">
        <f>C7*D7</f>
        <v/>
      </c>
      <c r="F7" s="153" t="inlineStr">
        <is>
          <t>Every 4–6 months</t>
        </is>
      </c>
      <c r="G7" s="153" t="inlineStr">
        <is>
          <t>Amazon.ca</t>
        </is>
      </c>
      <c r="H7" s="154" t="inlineStr">
        <is>
          <t>For ASA and ABS on glass or PEI; lasts many prints per can</t>
        </is>
      </c>
    </row>
    <row r="8">
      <c r="A8" s="155" t="inlineStr">
        <is>
          <t>Elmer’s Purple Glue Stick 12-pack</t>
        </is>
      </c>
      <c r="B8" s="156" t="inlineStr">
        <is>
          <t>Adhesion</t>
        </is>
      </c>
      <c r="C8" s="157" t="n">
        <v>1</v>
      </c>
      <c r="D8" s="158" t="n">
        <v>14</v>
      </c>
      <c r="E8" s="158">
        <f>C8*D8</f>
        <v/>
      </c>
      <c r="F8" s="159" t="inlineStr">
        <is>
          <t>Every 6 months</t>
        </is>
      </c>
      <c r="G8" s="159" t="inlineStr">
        <is>
          <t>Amazon.ca</t>
        </is>
      </c>
      <c r="H8" s="160" t="inlineStr">
        <is>
          <t>Release agent for PC on PEI; also aids Nylon adhesion on smooth PEI</t>
        </is>
      </c>
    </row>
    <row r="9">
      <c r="A9" s="149" t="inlineStr">
        <is>
          <t>Isopropyl Alcohol 99% 1L</t>
        </is>
      </c>
      <c r="B9" s="150" t="inlineStr">
        <is>
          <t>Adhesion</t>
        </is>
      </c>
      <c r="C9" s="151" t="n">
        <v>2</v>
      </c>
      <c r="D9" s="152" t="n">
        <v>14</v>
      </c>
      <c r="E9" s="152">
        <f>C9*D9</f>
        <v/>
      </c>
      <c r="F9" s="153" t="inlineStr">
        <is>
          <t>Every 3 months</t>
        </is>
      </c>
      <c r="G9" s="153" t="inlineStr">
        <is>
          <t>Amazon.ca</t>
        </is>
      </c>
      <c r="H9" s="154" t="inlineStr">
        <is>
          <t>Bed cleaning between prints; 99% only — 70% leaves water residue</t>
        </is>
      </c>
    </row>
    <row r="10" ht="20" customHeight="1">
      <c r="A10" s="125" t="inlineStr">
        <is>
          <t>BED SURFACES</t>
        </is>
      </c>
      <c r="B10" s="145" t="n"/>
      <c r="C10" s="145" t="n"/>
      <c r="D10" s="145" t="n"/>
      <c r="E10" s="145" t="n"/>
      <c r="F10" s="145" t="n"/>
      <c r="G10" s="145" t="n"/>
      <c r="H10" s="146" t="n"/>
    </row>
    <row r="11">
      <c r="A11" s="149" t="inlineStr">
        <is>
          <t>PEI Spring Steel Sheet Smooth 300×300mm (spare)</t>
        </is>
      </c>
      <c r="B11" s="150" t="inlineStr">
        <is>
          <t>Bed Surfaces</t>
        </is>
      </c>
      <c r="C11" s="151" t="n">
        <v>1</v>
      </c>
      <c r="D11" s="152" t="n">
        <v>36</v>
      </c>
      <c r="E11" s="152">
        <f>C11*D11</f>
        <v/>
      </c>
      <c r="F11" s="153" t="inlineStr">
        <is>
          <t>Every 12–18 months</t>
        </is>
      </c>
      <c r="G11" s="153" t="inlineStr">
        <is>
          <t>Amazon.ca</t>
        </is>
      </c>
      <c r="H11" s="154" t="inlineStr">
        <is>
          <t>Replace when scratched or delaminated; rotate with textured sheet</t>
        </is>
      </c>
    </row>
    <row r="12">
      <c r="A12" s="155" t="inlineStr">
        <is>
          <t>PEI Spring Steel Sheet Textured 300×300mm (spare)</t>
        </is>
      </c>
      <c r="B12" s="156" t="inlineStr">
        <is>
          <t>Bed Surfaces</t>
        </is>
      </c>
      <c r="C12" s="157" t="n">
        <v>1</v>
      </c>
      <c r="D12" s="158" t="n">
        <v>38</v>
      </c>
      <c r="E12" s="158">
        <f>C12*D12</f>
        <v/>
      </c>
      <c r="F12" s="159" t="inlineStr">
        <is>
          <t>Every 12–18 months</t>
        </is>
      </c>
      <c r="G12" s="159" t="inlineStr">
        <is>
          <t>Amazon.ca</t>
        </is>
      </c>
      <c r="H12" s="160" t="inlineStr">
        <is>
          <t>Matte bottom finish; great for PETG/PLA easy removal</t>
        </is>
      </c>
    </row>
    <row r="13">
      <c r="A13" s="149" t="inlineStr">
        <is>
          <t>Garolite G10 Sheet 300×300mm (spare)</t>
        </is>
      </c>
      <c r="B13" s="150" t="inlineStr">
        <is>
          <t>Bed Surfaces</t>
        </is>
      </c>
      <c r="C13" s="151" t="n">
        <v>1</v>
      </c>
      <c r="D13" s="152" t="n">
        <v>38</v>
      </c>
      <c r="E13" s="152">
        <f>C13*D13</f>
        <v/>
      </c>
      <c r="F13" s="153" t="inlineStr">
        <is>
          <t>Every 18–24 months</t>
        </is>
      </c>
      <c r="G13" s="153" t="inlineStr">
        <is>
          <t>Amazon.ca</t>
        </is>
      </c>
      <c r="H13" s="154" t="inlineStr">
        <is>
          <t>Nylon surface; replace when gouged or adhesion fails</t>
        </is>
      </c>
    </row>
    <row r="14" ht="20" customHeight="1">
      <c r="A14" s="125" t="inlineStr">
        <is>
          <t>NOZZLE STOCK</t>
        </is>
      </c>
      <c r="B14" s="145" t="n"/>
      <c r="C14" s="145" t="n"/>
      <c r="D14" s="145" t="n"/>
      <c r="E14" s="145" t="n"/>
      <c r="F14" s="145" t="n"/>
      <c r="G14" s="145" t="n"/>
      <c r="H14" s="146" t="n"/>
    </row>
    <row r="15">
      <c r="A15" s="149" t="inlineStr">
        <is>
          <t>Hardened Steel Nozzle 0.4mm 3-pack</t>
        </is>
      </c>
      <c r="B15" s="150" t="inlineStr">
        <is>
          <t>Nozzles</t>
        </is>
      </c>
      <c r="C15" s="151" t="n">
        <v>1</v>
      </c>
      <c r="D15" s="152" t="n">
        <v>30</v>
      </c>
      <c r="E15" s="152">
        <f>C15*D15</f>
        <v/>
      </c>
      <c r="F15" s="153" t="inlineStr">
        <is>
          <t>Every 6–12 months</t>
        </is>
      </c>
      <c r="G15" s="153" t="inlineStr">
        <is>
          <t>Amazon.ca</t>
        </is>
      </c>
      <c r="H15" s="154" t="inlineStr">
        <is>
          <t>CF/abrasive primary nozzle; replace when flow becomes inconsistent</t>
        </is>
      </c>
    </row>
    <row r="16">
      <c r="A16" s="155" t="inlineStr">
        <is>
          <t>Hardened Steel Nozzle 0.6mm 2-pack</t>
        </is>
      </c>
      <c r="B16" s="156" t="inlineStr">
        <is>
          <t>Nozzles</t>
        </is>
      </c>
      <c r="C16" s="157" t="n">
        <v>1</v>
      </c>
      <c r="D16" s="158" t="n">
        <v>22</v>
      </c>
      <c r="E16" s="158">
        <f>C16*D16</f>
        <v/>
      </c>
      <c r="F16" s="159" t="inlineStr">
        <is>
          <t>Every 12 months</t>
        </is>
      </c>
      <c r="G16" s="159" t="inlineStr">
        <is>
          <t>Amazon.ca</t>
        </is>
      </c>
      <c r="H16" s="160" t="inlineStr">
        <is>
          <t>Structural CF parts at higher flow rate</t>
        </is>
      </c>
    </row>
    <row r="17">
      <c r="A17" s="149" t="inlineStr">
        <is>
          <t>Brass Nozzle 0.4mm V6 10-pack</t>
        </is>
      </c>
      <c r="B17" s="150" t="inlineStr">
        <is>
          <t>Nozzles</t>
        </is>
      </c>
      <c r="C17" s="151" t="n">
        <v>1</v>
      </c>
      <c r="D17" s="152" t="n">
        <v>10</v>
      </c>
      <c r="E17" s="152">
        <f>C17*D17</f>
        <v/>
      </c>
      <c r="F17" s="153" t="inlineStr">
        <is>
          <t>Every 6 months</t>
        </is>
      </c>
      <c r="G17" s="153" t="inlineStr">
        <is>
          <t>Amazon.ca</t>
        </is>
      </c>
      <c r="H17" s="154" t="inlineStr">
        <is>
          <t>High-volume PLA/PETG use; cheap to replace rather than clean</t>
        </is>
      </c>
    </row>
    <row r="18">
      <c r="A18" s="155" t="inlineStr">
        <is>
          <t>E3D Nozzle X 0.4mm (spare)</t>
        </is>
      </c>
      <c r="B18" s="156" t="inlineStr">
        <is>
          <t>Nozzles</t>
        </is>
      </c>
      <c r="C18" s="157" t="n">
        <v>1</v>
      </c>
      <c r="D18" s="158" t="n">
        <v>34</v>
      </c>
      <c r="E18" s="158">
        <f>C18*D18</f>
        <v/>
      </c>
      <c r="F18" s="159" t="inlineStr">
        <is>
          <t>Every 12–24 months</t>
        </is>
      </c>
      <c r="G18" s="159" t="inlineStr">
        <is>
          <t>Amazon.ca</t>
        </is>
      </c>
      <c r="H18" s="160" t="inlineStr">
        <is>
          <t>Long-life nozzle; replace when tungsten coating shows tip wear</t>
        </is>
      </c>
    </row>
    <row r="19" ht="20" customHeight="1">
      <c r="A19" s="125" t="inlineStr">
        <is>
          <t>LUBRICATION &amp; MAINTENANCE</t>
        </is>
      </c>
      <c r="B19" s="145" t="n"/>
      <c r="C19" s="145" t="n"/>
      <c r="D19" s="145" t="n"/>
      <c r="E19" s="145" t="n"/>
      <c r="F19" s="145" t="n"/>
      <c r="G19" s="145" t="n"/>
      <c r="H19" s="146" t="n"/>
    </row>
    <row r="20">
      <c r="A20" s="149" t="inlineStr">
        <is>
          <t>Super Lube 21030 PTFE Grease 3oz</t>
        </is>
      </c>
      <c r="B20" s="150" t="inlineStr">
        <is>
          <t>Lubrication</t>
        </is>
      </c>
      <c r="C20" s="151" t="n">
        <v>1</v>
      </c>
      <c r="D20" s="152" t="n">
        <v>14</v>
      </c>
      <c r="E20" s="152">
        <f>C20*D20</f>
        <v/>
      </c>
      <c r="F20" s="153" t="inlineStr">
        <is>
          <t>Every 12 months</t>
        </is>
      </c>
      <c r="G20" s="153" t="inlineStr">
        <is>
          <t>Amazon.ca</t>
        </is>
      </c>
      <c r="H20" s="154" t="inlineStr">
        <is>
          <t>MGN12H rail carriages; apply sparingly to rail channel; avoid over-greasing</t>
        </is>
      </c>
    </row>
    <row r="21">
      <c r="A21" s="155" t="inlineStr">
        <is>
          <t>Super Lube 51010 PTFE Oil 4oz</t>
        </is>
      </c>
      <c r="B21" s="156" t="inlineStr">
        <is>
          <t>Lubrication</t>
        </is>
      </c>
      <c r="C21" s="157" t="n">
        <v>1</v>
      </c>
      <c r="D21" s="158" t="n">
        <v>12</v>
      </c>
      <c r="E21" s="158">
        <f>C21*D21</f>
        <v/>
      </c>
      <c r="F21" s="159" t="inlineStr">
        <is>
          <t>Every 12 months</t>
        </is>
      </c>
      <c r="G21" s="159" t="inlineStr">
        <is>
          <t>Amazon.ca</t>
        </is>
      </c>
      <c r="H21" s="160" t="inlineStr">
        <is>
          <t>Lead screw threads; apply monthly; keeps Z smooth and quiet</t>
        </is>
      </c>
    </row>
    <row r="22">
      <c r="A22" s="149" t="inlineStr">
        <is>
          <t>Mobilgrease 28 1oz (or Nyogel 767A)</t>
        </is>
      </c>
      <c r="B22" s="150" t="inlineStr">
        <is>
          <t>Lubrication</t>
        </is>
      </c>
      <c r="C22" s="151" t="n">
        <v>1</v>
      </c>
      <c r="D22" s="152" t="n">
        <v>22</v>
      </c>
      <c r="E22" s="152">
        <f>C22*D22</f>
        <v/>
      </c>
      <c r="F22" s="153" t="inlineStr">
        <is>
          <t>Every 18–24 months</t>
        </is>
      </c>
      <c r="G22" s="153" t="inlineStr">
        <is>
          <t>Amazon.ca</t>
        </is>
      </c>
      <c r="H22" s="154" t="inlineStr">
        <is>
          <t>Premium rail grease; pack carriage block quarterly; small amount lasts long</t>
        </is>
      </c>
    </row>
    <row r="23">
      <c r="A23" s="155" t="inlineStr">
        <is>
          <t>Brass Wire Nozzle Brush 2-pack</t>
        </is>
      </c>
      <c r="B23" s="156" t="inlineStr">
        <is>
          <t>Maintenance</t>
        </is>
      </c>
      <c r="C23" s="157" t="n">
        <v>1</v>
      </c>
      <c r="D23" s="158" t="n">
        <v>7</v>
      </c>
      <c r="E23" s="158">
        <f>C23*D23</f>
        <v/>
      </c>
      <c r="F23" s="159" t="inlineStr">
        <is>
          <t>Every 6 months</t>
        </is>
      </c>
      <c r="G23" s="159" t="inlineStr">
        <is>
          <t>Amazon.ca</t>
        </is>
      </c>
      <c r="H23" s="160" t="inlineStr">
        <is>
          <t>Replace when bristles flatten; never use steel brush on nozzle tip</t>
        </is>
      </c>
    </row>
    <row r="24">
      <c r="A24" s="149" t="inlineStr">
        <is>
          <t>Nozzle Cleaning Needle Set 10-pack</t>
        </is>
      </c>
      <c r="B24" s="150" t="inlineStr">
        <is>
          <t>Maintenance</t>
        </is>
      </c>
      <c r="C24" s="151" t="n">
        <v>1</v>
      </c>
      <c r="D24" s="152" t="n">
        <v>9</v>
      </c>
      <c r="E24" s="152">
        <f>C24*D24</f>
        <v/>
      </c>
      <c r="F24" s="153" t="inlineStr">
        <is>
          <t>Every 12 months</t>
        </is>
      </c>
      <c r="G24" s="153" t="inlineStr">
        <is>
          <t>Amazon.ca</t>
        </is>
      </c>
      <c r="H24" s="154" t="inlineStr">
        <is>
          <t>Keep in toolbox at all times for quick clog clearing</t>
        </is>
      </c>
    </row>
    <row r="25">
      <c r="A25" s="155" t="inlineStr">
        <is>
          <t>Silicone Thermal Paste 3g</t>
        </is>
      </c>
      <c r="B25" s="156" t="inlineStr">
        <is>
          <t>Maintenance</t>
        </is>
      </c>
      <c r="C25" s="157" t="n">
        <v>1</v>
      </c>
      <c r="D25" s="158" t="n">
        <v>8</v>
      </c>
      <c r="E25" s="158">
        <f>C25*D25</f>
        <v/>
      </c>
      <c r="F25" s="159" t="inlineStr">
        <is>
          <t>Every 12 months</t>
        </is>
      </c>
      <c r="G25" s="159" t="inlineStr">
        <is>
          <t>Amazon.ca</t>
        </is>
      </c>
      <c r="H25" s="160" t="inlineStr">
        <is>
          <t>Thermistor and heater cartridge heat transfer during hotend service</t>
        </is>
      </c>
    </row>
    <row r="26" ht="20" customHeight="1">
      <c r="A26" s="125" t="inlineStr">
        <is>
          <t>FILAMENT DRYING &amp; STORAGE</t>
        </is>
      </c>
      <c r="B26" s="145" t="n"/>
      <c r="C26" s="145" t="n"/>
      <c r="D26" s="145" t="n"/>
      <c r="E26" s="145" t="n"/>
      <c r="F26" s="145" t="n"/>
      <c r="G26" s="145" t="n"/>
      <c r="H26" s="146" t="n"/>
    </row>
    <row r="27">
      <c r="A27" s="149" t="inlineStr">
        <is>
          <t>Silica Gel 500g Orange Indicating ×3 bags</t>
        </is>
      </c>
      <c r="B27" s="150" t="inlineStr">
        <is>
          <t>Filament Storage</t>
        </is>
      </c>
      <c r="C27" s="151" t="n">
        <v>3</v>
      </c>
      <c r="D27" s="152" t="n">
        <v>14</v>
      </c>
      <c r="E27" s="152">
        <f>C27*D27</f>
        <v/>
      </c>
      <c r="F27" s="153" t="inlineStr">
        <is>
          <t>Every 12 months (rechargeable)</t>
        </is>
      </c>
      <c r="G27" s="153" t="inlineStr">
        <is>
          <t>Amazon.ca</t>
        </is>
      </c>
      <c r="H27" s="154" t="inlineStr">
        <is>
          <t>Orange→blue = saturated; recharge at 120°C for 2hrs; reuse indefinitely</t>
        </is>
      </c>
    </row>
    <row r="28">
      <c r="A28" s="155" t="inlineStr">
        <is>
          <t>Vacuum Seal Bags + Pump 10-pack</t>
        </is>
      </c>
      <c r="B28" s="156" t="inlineStr">
        <is>
          <t>Filament Storage</t>
        </is>
      </c>
      <c r="C28" s="157" t="n">
        <v>1</v>
      </c>
      <c r="D28" s="158" t="n">
        <v>18</v>
      </c>
      <c r="E28" s="158">
        <f>C28*D28</f>
        <v/>
      </c>
      <c r="F28" s="159" t="inlineStr">
        <is>
          <t>Every 12 months</t>
        </is>
      </c>
      <c r="G28" s="159" t="inlineStr">
        <is>
          <t>Amazon.ca</t>
        </is>
      </c>
      <c r="H28" s="160" t="inlineStr">
        <is>
          <t>Seal opened spools for long-term storage; stack vertically on shelf</t>
        </is>
      </c>
    </row>
    <row r="29">
      <c r="A29" s="149" t="inlineStr">
        <is>
          <t>Iris USA Airtight Container 12qt ×4</t>
        </is>
      </c>
      <c r="B29" s="150" t="inlineStr">
        <is>
          <t>Filament Storage</t>
        </is>
      </c>
      <c r="C29" s="151" t="n">
        <v>4</v>
      </c>
      <c r="D29" s="152" t="n">
        <v>16</v>
      </c>
      <c r="E29" s="152">
        <f>C29*D29</f>
        <v/>
      </c>
      <c r="F29" s="153" t="inlineStr">
        <is>
          <t>As needed</t>
        </is>
      </c>
      <c r="G29" s="153" t="inlineStr">
        <is>
          <t>Amazon.ca</t>
        </is>
      </c>
      <c r="H29" s="154" t="inlineStr">
        <is>
          <t>1 spool per container + silica; label with type and date opened</t>
        </is>
      </c>
    </row>
    <row r="30">
      <c r="A30" s="155" t="inlineStr">
        <is>
          <t>Sunlu S2 Replacement Heating Pad</t>
        </is>
      </c>
      <c r="B30" s="156" t="inlineStr">
        <is>
          <t>Filament Storage</t>
        </is>
      </c>
      <c r="C30" s="157" t="n">
        <v>1</v>
      </c>
      <c r="D30" s="158" t="n">
        <v>22</v>
      </c>
      <c r="E30" s="158">
        <f>C30*D30</f>
        <v/>
      </c>
      <c r="F30" s="159" t="inlineStr">
        <is>
          <t>Every 24 months</t>
        </is>
      </c>
      <c r="G30" s="159" t="inlineStr">
        <is>
          <t>Amazon.ca</t>
        </is>
      </c>
      <c r="H30" s="160" t="inlineStr">
        <is>
          <t>Spare heating element; order when dryer fails to reach set temp</t>
        </is>
      </c>
    </row>
    <row r="31">
      <c r="A31" s="149" t="inlineStr">
        <is>
          <t>Activated Carbon Media Refill 500g</t>
        </is>
      </c>
      <c r="B31" s="150" t="inlineStr">
        <is>
          <t>Filament Storage</t>
        </is>
      </c>
      <c r="C31" s="151" t="n">
        <v>1</v>
      </c>
      <c r="D31" s="152" t="n">
        <v>18</v>
      </c>
      <c r="E31" s="152">
        <f>C31*D31</f>
        <v/>
      </c>
      <c r="F31" s="153" t="inlineStr">
        <is>
          <t>Every 6 months</t>
        </is>
      </c>
      <c r="G31" s="153" t="inlineStr">
        <is>
          <t>Amazon.ca</t>
        </is>
      </c>
      <c r="H31" s="154" t="inlineStr">
        <is>
          <t>Refill for Nevermore and exhaust filter; replace when smell returns</t>
        </is>
      </c>
    </row>
    <row r="32" ht="20" customHeight="1">
      <c r="A32" s="125" t="inlineStr">
        <is>
          <t>TOOLS</t>
        </is>
      </c>
      <c r="B32" s="145" t="n"/>
      <c r="C32" s="145" t="n"/>
      <c r="D32" s="145" t="n"/>
      <c r="E32" s="145" t="n"/>
      <c r="F32" s="145" t="n"/>
      <c r="G32" s="145" t="n"/>
      <c r="H32" s="146" t="n"/>
    </row>
    <row r="33">
      <c r="A33" s="149" t="inlineStr">
        <is>
          <t>Digital Calipers 150mm (Mitutoyo or Rexbeti)</t>
        </is>
      </c>
      <c r="B33" s="150" t="inlineStr">
        <is>
          <t>Tools</t>
        </is>
      </c>
      <c r="C33" s="151" t="n">
        <v>1</v>
      </c>
      <c r="D33" s="152" t="n">
        <v>38</v>
      </c>
      <c r="E33" s="152">
        <f>C33*D33</f>
        <v/>
      </c>
      <c r="F33" s="153" t="inlineStr">
        <is>
          <t>Every 3–5 years</t>
        </is>
      </c>
      <c r="G33" s="153" t="inlineStr">
        <is>
          <t>Amazon.ca</t>
        </is>
      </c>
      <c r="H33" s="154" t="inlineStr">
        <is>
          <t>First-print calibration; measure actual part dimensions vs model</t>
        </is>
      </c>
    </row>
    <row r="34">
      <c r="A34" s="155" t="inlineStr">
        <is>
          <t>Feeler Gauge Set Metric + Imperial</t>
        </is>
      </c>
      <c r="B34" s="156" t="inlineStr">
        <is>
          <t>Tools</t>
        </is>
      </c>
      <c r="C34" s="157" t="n">
        <v>1</v>
      </c>
      <c r="D34" s="158" t="n">
        <v>12</v>
      </c>
      <c r="E34" s="158">
        <f>C34*D34</f>
        <v/>
      </c>
      <c r="F34" s="159" t="inlineStr">
        <is>
          <t>Every 5+ years</t>
        </is>
      </c>
      <c r="G34" s="159" t="inlineStr">
        <is>
          <t>Amazon.ca</t>
        </is>
      </c>
      <c r="H34" s="160" t="inlineStr">
        <is>
          <t>0.15mm = standard nozzle-to-bed gap for paper-method leveling</t>
        </is>
      </c>
    </row>
    <row r="35">
      <c r="A35" s="149" t="inlineStr">
        <is>
          <t>Hex Key Set Metric Long-Arm Ball-End</t>
        </is>
      </c>
      <c r="B35" s="150" t="inlineStr">
        <is>
          <t>Tools</t>
        </is>
      </c>
      <c r="C35" s="151" t="n">
        <v>1</v>
      </c>
      <c r="D35" s="152" t="n">
        <v>22</v>
      </c>
      <c r="E35" s="152">
        <f>C35*D35</f>
        <v/>
      </c>
      <c r="F35" s="153" t="inlineStr">
        <is>
          <t>Every 5+ years</t>
        </is>
      </c>
      <c r="G35" s="153" t="inlineStr">
        <is>
          <t>Amazon.ca</t>
        </is>
      </c>
      <c r="H35" s="154" t="inlineStr">
        <is>
          <t>M2–M5 hex keys for all printer assembly and maintenance</t>
        </is>
      </c>
    </row>
    <row r="36">
      <c r="A36" s="155" t="inlineStr">
        <is>
          <t>Torque Screwdriver Set 0.5–5Nm</t>
        </is>
      </c>
      <c r="B36" s="156" t="inlineStr">
        <is>
          <t>Tools</t>
        </is>
      </c>
      <c r="C36" s="157" t="n">
        <v>1</v>
      </c>
      <c r="D36" s="158" t="n">
        <v>45</v>
      </c>
      <c r="E36" s="158">
        <f>C36*D36</f>
        <v/>
      </c>
      <c r="F36" s="159" t="inlineStr">
        <is>
          <t>Every 5+ years</t>
        </is>
      </c>
      <c r="G36" s="159" t="inlineStr">
        <is>
          <t>Amazon.ca</t>
        </is>
      </c>
      <c r="H36" s="160" t="inlineStr">
        <is>
          <t>Consistent nozzle torque (1–1.5Nm hot); prevents cracked heat blocks</t>
        </is>
      </c>
    </row>
    <row r="37">
      <c r="A37" s="149" t="inlineStr">
        <is>
          <t>Flush Cutters ESD Safe</t>
        </is>
      </c>
      <c r="B37" s="150" t="inlineStr">
        <is>
          <t>Tools</t>
        </is>
      </c>
      <c r="C37" s="151" t="n">
        <v>1</v>
      </c>
      <c r="D37" s="152" t="n">
        <v>14</v>
      </c>
      <c r="E37" s="152">
        <f>C37*D37</f>
        <v/>
      </c>
      <c r="F37" s="153" t="inlineStr">
        <is>
          <t>Every 2–3 years</t>
        </is>
      </c>
      <c r="G37" s="153" t="inlineStr">
        <is>
          <t>Amazon.ca</t>
        </is>
      </c>
      <c r="H37" s="154" t="inlineStr">
        <is>
          <t>Support removal; zip tie trimming; ESD safe near electronics</t>
        </is>
      </c>
    </row>
    <row r="38">
      <c r="A38" s="155" t="inlineStr">
        <is>
          <t>ESD Tweezers Set</t>
        </is>
      </c>
      <c r="B38" s="156" t="inlineStr">
        <is>
          <t>Tools</t>
        </is>
      </c>
      <c r="C38" s="157" t="n">
        <v>1</v>
      </c>
      <c r="D38" s="158" t="n">
        <v>16</v>
      </c>
      <c r="E38" s="158">
        <f>C38*D38</f>
        <v/>
      </c>
      <c r="F38" s="159" t="inlineStr">
        <is>
          <t>Every 3–5 years</t>
        </is>
      </c>
      <c r="G38" s="159" t="inlineStr">
        <is>
          <t>Amazon.ca</t>
        </is>
      </c>
      <c r="H38" s="160" t="inlineStr">
        <is>
          <t>Handling small parts; first-layer string removal while printing</t>
        </is>
      </c>
    </row>
    <row r="39">
      <c r="A39" s="149" t="inlineStr">
        <is>
          <t>Heat Gun 300–600°C</t>
        </is>
      </c>
      <c r="B39" s="150" t="inlineStr">
        <is>
          <t>Tools</t>
        </is>
      </c>
      <c r="C39" s="151" t="n">
        <v>1</v>
      </c>
      <c r="D39" s="152" t="n">
        <v>35</v>
      </c>
      <c r="E39" s="152">
        <f>C39*D39</f>
        <v/>
      </c>
      <c r="F39" s="153" t="inlineStr">
        <is>
          <t>Every 5+ years</t>
        </is>
      </c>
      <c r="G39" s="153" t="inlineStr">
        <is>
          <t>Amazon.ca</t>
        </is>
      </c>
      <c r="H39" s="154" t="inlineStr">
        <is>
          <t>Heatset inserts; heat-shrink tubing; removing stuck prints</t>
        </is>
      </c>
    </row>
    <row r="40">
      <c r="A40" s="155" t="inlineStr">
        <is>
          <t>Digital Multimeter (Fluke 115 or UNI-T UT61E)</t>
        </is>
      </c>
      <c r="B40" s="156" t="inlineStr">
        <is>
          <t>Tools</t>
        </is>
      </c>
      <c r="C40" s="157" t="n">
        <v>1</v>
      </c>
      <c r="D40" s="158" t="n">
        <v>65</v>
      </c>
      <c r="E40" s="158">
        <f>C40*D40</f>
        <v/>
      </c>
      <c r="F40" s="159" t="inlineStr">
        <is>
          <t>Every 5+ years</t>
        </is>
      </c>
      <c r="G40" s="159" t="inlineStr">
        <is>
          <t>Amazon.ca</t>
        </is>
      </c>
      <c r="H40" s="160" t="inlineStr">
        <is>
          <t>PSU voltage; continuity; thermistor resistance verification</t>
        </is>
      </c>
    </row>
    <row r="41">
      <c r="A41" s="149" t="inlineStr">
        <is>
          <t>Hakko FX-888D Soldering Iron (or quality clone)</t>
        </is>
      </c>
      <c r="B41" s="150" t="inlineStr">
        <is>
          <t>Tools</t>
        </is>
      </c>
      <c r="C41" s="151" t="n">
        <v>1</v>
      </c>
      <c r="D41" s="152" t="n">
        <v>95</v>
      </c>
      <c r="E41" s="152">
        <f>C41*D41</f>
        <v/>
      </c>
      <c r="F41" s="153" t="inlineStr">
        <is>
          <t>Every 10+ years</t>
        </is>
      </c>
      <c r="G41" s="153" t="inlineStr">
        <is>
          <t>Amazon.ca</t>
        </is>
      </c>
      <c r="H41" s="154" t="inlineStr">
        <is>
          <t>Heatset inserts; wire repairs; connector crimping backup</t>
        </is>
      </c>
    </row>
    <row r="42">
      <c r="A42" s="155" t="inlineStr">
        <is>
          <t>Brass Soldering Tip Cleaner</t>
        </is>
      </c>
      <c r="B42" s="156" t="inlineStr">
        <is>
          <t>Tools</t>
        </is>
      </c>
      <c r="C42" s="157" t="n">
        <v>1</v>
      </c>
      <c r="D42" s="158" t="n">
        <v>8</v>
      </c>
      <c r="E42" s="158">
        <f>C42*D42</f>
        <v/>
      </c>
      <c r="F42" s="159" t="inlineStr">
        <is>
          <t>Every 12 months</t>
        </is>
      </c>
      <c r="G42" s="159" t="inlineStr">
        <is>
          <t>Amazon.ca</t>
        </is>
      </c>
      <c r="H42" s="160" t="inlineStr">
        <is>
          <t>Extend tip life; use instead of wet sponge to avoid thermal shock</t>
        </is>
      </c>
    </row>
    <row r="43" ht="20" customHeight="1">
      <c r="A43" s="125" t="inlineStr">
        <is>
          <t>SAFETY GEAR</t>
        </is>
      </c>
      <c r="B43" s="145" t="n"/>
      <c r="C43" s="145" t="n"/>
      <c r="D43" s="145" t="n"/>
      <c r="E43" s="145" t="n"/>
      <c r="F43" s="145" t="n"/>
      <c r="G43" s="145" t="n"/>
      <c r="H43" s="146" t="n"/>
    </row>
    <row r="44">
      <c r="A44" s="149" t="inlineStr">
        <is>
          <t>Standalone HEPA+Carbon Air Purifier</t>
        </is>
      </c>
      <c r="B44" s="150" t="inlineStr">
        <is>
          <t>Safety</t>
        </is>
      </c>
      <c r="C44" s="151" t="n">
        <v>1</v>
      </c>
      <c r="D44" s="152" t="n">
        <v>85</v>
      </c>
      <c r="E44" s="152">
        <f>C44*D44</f>
        <v/>
      </c>
      <c r="F44" s="153" t="inlineStr">
        <is>
          <t>Filter every 6 months</t>
        </is>
      </c>
      <c r="G44" s="153" t="inlineStr">
        <is>
          <t>Amazon.ca</t>
        </is>
      </c>
      <c r="H44" s="154" t="inlineStr">
        <is>
          <t>Room-level backup for enclosure filter; place near printer during ABS/ASA runs</t>
        </is>
      </c>
    </row>
    <row r="45">
      <c r="A45" s="155" t="inlineStr">
        <is>
          <t>3M 6500 Half-Face Respirator Body Medium</t>
        </is>
      </c>
      <c r="B45" s="156" t="inlineStr">
        <is>
          <t>Safety</t>
        </is>
      </c>
      <c r="C45" s="157" t="n">
        <v>1</v>
      </c>
      <c r="D45" s="158" t="n">
        <v>42</v>
      </c>
      <c r="E45" s="158">
        <f>C45*D45</f>
        <v/>
      </c>
      <c r="F45" s="159" t="inlineStr">
        <is>
          <t>Every 2–3 years</t>
        </is>
      </c>
      <c r="G45" s="159" t="inlineStr">
        <is>
          <t>Amazon.ca</t>
        </is>
      </c>
      <c r="H45" s="160" t="inlineStr">
        <is>
          <t>Wear during ABS/ASA/Nylon print setup and maintenance; reusable body</t>
        </is>
      </c>
    </row>
    <row r="46">
      <c r="A46" s="149" t="inlineStr">
        <is>
          <t>3M 6003 OV/R Cartridge Pair ×3</t>
        </is>
      </c>
      <c r="B46" s="150" t="inlineStr">
        <is>
          <t>Safety</t>
        </is>
      </c>
      <c r="C46" s="151" t="n">
        <v>3</v>
      </c>
      <c r="D46" s="152" t="n">
        <v>22</v>
      </c>
      <c r="E46" s="152">
        <f>C46*D46</f>
        <v/>
      </c>
      <c r="F46" s="153" t="inlineStr">
        <is>
          <t>Every 40hrs exposure</t>
        </is>
      </c>
      <c r="G46" s="153" t="inlineStr">
        <is>
          <t>Amazon.ca</t>
        </is>
      </c>
      <c r="H46" s="154" t="inlineStr">
        <is>
          <t>Organic vapour + R95 particulate; replace per 3M schedule or when smell bleeds through</t>
        </is>
      </c>
    </row>
    <row r="47">
      <c r="A47" s="155" t="inlineStr">
        <is>
          <t>Nitrile Gloves Box 100-count Medium</t>
        </is>
      </c>
      <c r="B47" s="156" t="inlineStr">
        <is>
          <t>Safety</t>
        </is>
      </c>
      <c r="C47" s="157" t="n">
        <v>1</v>
      </c>
      <c r="D47" s="158" t="n">
        <v>14</v>
      </c>
      <c r="E47" s="158">
        <f>C47*D47</f>
        <v/>
      </c>
      <c r="F47" s="159" t="inlineStr">
        <is>
          <t>Every 3–4 months</t>
        </is>
      </c>
      <c r="G47" s="159" t="inlineStr">
        <is>
          <t>Amazon.ca</t>
        </is>
      </c>
      <c r="H47" s="160" t="inlineStr">
        <is>
          <t>ABS acetone smoothing; hot bed burns; solvent adhesives</t>
        </is>
      </c>
    </row>
    <row r="48">
      <c r="A48" s="149" t="inlineStr">
        <is>
          <t>Fire-Resistant Silicone Printer Mat</t>
        </is>
      </c>
      <c r="B48" s="150" t="inlineStr">
        <is>
          <t>Safety</t>
        </is>
      </c>
      <c r="C48" s="151" t="n">
        <v>1</v>
      </c>
      <c r="D48" s="152" t="n">
        <v>28</v>
      </c>
      <c r="E48" s="152">
        <f>C48*D48</f>
        <v/>
      </c>
      <c r="F48" s="153" t="inlineStr">
        <is>
          <t>Every 3–5 years</t>
        </is>
      </c>
      <c r="G48" s="153" t="inlineStr">
        <is>
          <t>Amazon.ca</t>
        </is>
      </c>
      <c r="H48" s="154" t="inlineStr">
        <is>
          <t>Under-printer thermal barrier; withstands 200°C+; contains runaway heat</t>
        </is>
      </c>
    </row>
    <row r="49">
      <c r="A49" s="155" t="inlineStr">
        <is>
          <t>Optical Smoke Detector Battery</t>
        </is>
      </c>
      <c r="B49" s="156" t="inlineStr">
        <is>
          <t>Safety</t>
        </is>
      </c>
      <c r="C49" s="157" t="n">
        <v>1</v>
      </c>
      <c r="D49" s="158" t="n">
        <v>28</v>
      </c>
      <c r="E49" s="158">
        <f>C49*D49</f>
        <v/>
      </c>
      <c r="F49" s="159" t="inlineStr">
        <is>
          <t>Battery annually</t>
        </is>
      </c>
      <c r="G49" s="159" t="inlineStr">
        <is>
          <t>Amazon.ca</t>
        </is>
      </c>
      <c r="H49" s="160" t="inlineStr">
        <is>
          <t>Mount above printer; early thermal runaway warning</t>
        </is>
      </c>
    </row>
    <row r="50">
      <c r="A50" s="149" t="inlineStr">
        <is>
          <t>Kidde 1-A:10-B:C Fire Extinguisher</t>
        </is>
      </c>
      <c r="B50" s="150" t="inlineStr">
        <is>
          <t>Safety</t>
        </is>
      </c>
      <c r="C50" s="151" t="n">
        <v>1</v>
      </c>
      <c r="D50" s="152" t="n">
        <v>45</v>
      </c>
      <c r="E50" s="152">
        <f>C50*D50</f>
        <v/>
      </c>
      <c r="F50" s="153" t="inlineStr">
        <is>
          <t>Inspect annually</t>
        </is>
      </c>
      <c r="G50" s="153" t="inlineStr">
        <is>
          <t>Amazon.ca</t>
        </is>
      </c>
      <c r="H50" s="154" t="inlineStr">
        <is>
          <t>Class ABC for electrical fires; mount within reach of printer at all times</t>
        </is>
      </c>
    </row>
    <row r="51" ht="20" customHeight="1">
      <c r="A51" s="125" t="inlineStr">
        <is>
          <t>SPARE ELECTRONIC PARTS</t>
        </is>
      </c>
      <c r="B51" s="145" t="n"/>
      <c r="C51" s="145" t="n"/>
      <c r="D51" s="145" t="n"/>
      <c r="E51" s="145" t="n"/>
      <c r="F51" s="145" t="n"/>
      <c r="G51" s="145" t="n"/>
      <c r="H51" s="146" t="n"/>
    </row>
    <row r="52">
      <c r="A52" s="149" t="inlineStr">
        <is>
          <t>NEMA 17 Stepper Motor 48Ncm (XY-rated spare)</t>
        </is>
      </c>
      <c r="B52" s="150" t="inlineStr">
        <is>
          <t>Spare Parts</t>
        </is>
      </c>
      <c r="C52" s="151" t="n">
        <v>1</v>
      </c>
      <c r="D52" s="152" t="n">
        <v>19</v>
      </c>
      <c r="E52" s="152">
        <f>C52*D52</f>
        <v/>
      </c>
      <c r="F52" s="153" t="inlineStr">
        <is>
          <t>As needed</t>
        </is>
      </c>
      <c r="G52" s="153" t="inlineStr">
        <is>
          <t>Amazon.ca</t>
        </is>
      </c>
      <c r="H52" s="154" t="inlineStr">
        <is>
          <t>Full-build spare; identical to XY drive motors; also fits E axis</t>
        </is>
      </c>
    </row>
    <row r="53">
      <c r="A53" s="155" t="inlineStr">
        <is>
          <t>TMC2209 Stepper Driver 2-pack</t>
        </is>
      </c>
      <c r="B53" s="156" t="inlineStr">
        <is>
          <t>Spare Parts</t>
        </is>
      </c>
      <c r="C53" s="157" t="n">
        <v>1</v>
      </c>
      <c r="D53" s="158" t="n">
        <v>22</v>
      </c>
      <c r="E53" s="158">
        <f>C53*D53</f>
        <v/>
      </c>
      <c r="F53" s="159" t="inlineStr">
        <is>
          <t>As needed</t>
        </is>
      </c>
      <c r="G53" s="159" t="inlineStr">
        <is>
          <t>Amazon.ca</t>
        </is>
      </c>
      <c r="H53" s="160" t="inlineStr">
        <is>
          <t>Drivers fail from wiring shorts; configure UART address before swap</t>
        </is>
      </c>
    </row>
    <row r="54">
      <c r="A54" s="149" t="inlineStr">
        <is>
          <t>Heater Cartridge 60W 24V 6×20mm ×2</t>
        </is>
      </c>
      <c r="B54" s="150" t="inlineStr">
        <is>
          <t>Spare Parts</t>
        </is>
      </c>
      <c r="C54" s="151" t="n">
        <v>1</v>
      </c>
      <c r="D54" s="152" t="n">
        <v>14</v>
      </c>
      <c r="E54" s="152">
        <f>C54*D54</f>
        <v/>
      </c>
      <c r="F54" s="153" t="inlineStr">
        <is>
          <t>As needed</t>
        </is>
      </c>
      <c r="G54" s="153" t="inlineStr">
        <is>
          <t>Amazon.ca</t>
        </is>
      </c>
      <c r="H54" s="154" t="inlineStr">
        <is>
          <t>Swap same wattage only; thermal cycling causes cartridge failure over time</t>
        </is>
      </c>
    </row>
    <row r="55">
      <c r="A55" s="155" t="inlineStr">
        <is>
          <t>PT1000 Thermistor Cartridge ×2</t>
        </is>
      </c>
      <c r="B55" s="156" t="inlineStr">
        <is>
          <t>Spare Parts</t>
        </is>
      </c>
      <c r="C55" s="157" t="n">
        <v>1</v>
      </c>
      <c r="D55" s="158" t="n">
        <v>17</v>
      </c>
      <c r="E55" s="158">
        <f>C55*D55</f>
        <v/>
      </c>
      <c r="F55" s="159" t="inlineStr">
        <is>
          <t>As needed</t>
        </is>
      </c>
      <c r="G55" s="159" t="inlineStr">
        <is>
          <t>Amazon.ca</t>
        </is>
      </c>
      <c r="H55" s="160" t="inlineStr">
        <is>
          <t>Wire breaks at toolhead from flex; verify resistance: 1385Ω at 100°C</t>
        </is>
      </c>
    </row>
    <row r="56">
      <c r="A56" s="149" t="inlineStr">
        <is>
          <t>4010 Hotend Cooling Fan 24V ×2</t>
        </is>
      </c>
      <c r="B56" s="150" t="inlineStr">
        <is>
          <t>Spare Parts</t>
        </is>
      </c>
      <c r="C56" s="151" t="n">
        <v>1</v>
      </c>
      <c r="D56" s="152" t="n">
        <v>18</v>
      </c>
      <c r="E56" s="152">
        <f>C56*D56</f>
        <v/>
      </c>
      <c r="F56" s="153" t="inlineStr">
        <is>
          <t>As needed</t>
        </is>
      </c>
      <c r="G56" s="153" t="inlineStr">
        <is>
          <t>Amazon.ca</t>
        </is>
      </c>
      <c r="H56" s="154" t="inlineStr">
        <is>
          <t>Fan failure causes immediate heat creep and jam; keep 2 spares</t>
        </is>
      </c>
    </row>
    <row r="57">
      <c r="A57" s="155" t="inlineStr">
        <is>
          <t>5015 Part Cooling Blower 24V ×2</t>
        </is>
      </c>
      <c r="B57" s="156" t="inlineStr">
        <is>
          <t>Spare Parts</t>
        </is>
      </c>
      <c r="C57" s="157" t="n">
        <v>1</v>
      </c>
      <c r="D57" s="158" t="n">
        <v>22</v>
      </c>
      <c r="E57" s="158">
        <f>C57*D57</f>
        <v/>
      </c>
      <c r="F57" s="159" t="inlineStr">
        <is>
          <t>As needed</t>
        </is>
      </c>
      <c r="G57" s="159" t="inlineStr">
        <is>
          <t>Amazon.ca</t>
        </is>
      </c>
      <c r="H57" s="160" t="inlineStr">
        <is>
          <t>Replace as matched pair; match original CFM spec</t>
        </is>
      </c>
    </row>
    <row r="58">
      <c r="A58" s="149" t="inlineStr">
        <is>
          <t>GT2 6mm Open-Loop Belt 2m ×2</t>
        </is>
      </c>
      <c r="B58" s="150" t="inlineStr">
        <is>
          <t>Spare Parts</t>
        </is>
      </c>
      <c r="C58" s="151" t="n">
        <v>1</v>
      </c>
      <c r="D58" s="152" t="n">
        <v>10</v>
      </c>
      <c r="E58" s="152">
        <f>C58*D58</f>
        <v/>
      </c>
      <c r="F58" s="153" t="inlineStr">
        <is>
          <t>As needed</t>
        </is>
      </c>
      <c r="G58" s="153" t="inlineStr">
        <is>
          <t>Amazon.ca</t>
        </is>
      </c>
      <c r="H58" s="154" t="inlineStr">
        <is>
          <t>Belts fray over years; pre-cut to each XY axis length</t>
        </is>
      </c>
    </row>
    <row r="59">
      <c r="A59" s="155" t="inlineStr">
        <is>
          <t>MGN12H Linear Rail 300mm (spare)</t>
        </is>
      </c>
      <c r="B59" s="156" t="inlineStr">
        <is>
          <t>Spare Parts</t>
        </is>
      </c>
      <c r="C59" s="157" t="n">
        <v>1</v>
      </c>
      <c r="D59" s="158" t="n">
        <v>22</v>
      </c>
      <c r="E59" s="158">
        <f>C59*D59</f>
        <v/>
      </c>
      <c r="F59" s="159" t="inlineStr">
        <is>
          <t>As needed</t>
        </is>
      </c>
      <c r="G59" s="159" t="inlineStr">
        <is>
          <t>AliExpress</t>
        </is>
      </c>
      <c r="H59" s="160" t="inlineStr">
        <is>
          <t>Spare X rail; pre-load with carriages so swap is 30 minutes</t>
        </is>
      </c>
    </row>
    <row r="60">
      <c r="A60" s="149" t="inlineStr">
        <is>
          <t>MicroSD Card 32GB Pre-Flashed Klipper Backup</t>
        </is>
      </c>
      <c r="B60" s="150" t="inlineStr">
        <is>
          <t>Spare Parts</t>
        </is>
      </c>
      <c r="C60" s="151" t="n">
        <v>1</v>
      </c>
      <c r="D60" s="152" t="n">
        <v>12</v>
      </c>
      <c r="E60" s="152">
        <f>C60*D60</f>
        <v/>
      </c>
      <c r="F60" s="153" t="inlineStr">
        <is>
          <t>As needed</t>
        </is>
      </c>
      <c r="G60" s="153" t="inlineStr">
        <is>
          <t>Amazon.ca</t>
        </is>
      </c>
      <c r="H60" s="154" t="inlineStr">
        <is>
          <t>Full printer.cfg backup on card; store in labelled static bag</t>
        </is>
      </c>
    </row>
    <row r="61">
      <c r="A61" s="155" t="inlineStr">
        <is>
          <t>USB-C Power Adapter 5V 3A for Pi</t>
        </is>
      </c>
      <c r="B61" s="156" t="inlineStr">
        <is>
          <t>Spare Parts</t>
        </is>
      </c>
      <c r="C61" s="157" t="n">
        <v>1</v>
      </c>
      <c r="D61" s="158" t="n">
        <v>14</v>
      </c>
      <c r="E61" s="158">
        <f>C61*D61</f>
        <v/>
      </c>
      <c r="F61" s="159" t="inlineStr">
        <is>
          <t>As needed</t>
        </is>
      </c>
      <c r="G61" s="159" t="inlineStr">
        <is>
          <t>Amazon.ca</t>
        </is>
      </c>
      <c r="H61" s="160" t="inlineStr">
        <is>
          <t>Quality supply prevents Pi undervoltage crashes; keep one spare</t>
        </is>
      </c>
    </row>
    <row r="62">
      <c r="A62" s="149" t="inlineStr">
        <is>
          <t>Thermal Fuse 10A 125°C ×4</t>
        </is>
      </c>
      <c r="B62" s="150" t="inlineStr">
        <is>
          <t>Spare Parts</t>
        </is>
      </c>
      <c r="C62" s="151" t="n">
        <v>1</v>
      </c>
      <c r="D62" s="152" t="n">
        <v>8</v>
      </c>
      <c r="E62" s="152">
        <f>C62*D62</f>
        <v/>
      </c>
      <c r="F62" s="153" t="inlineStr">
        <is>
          <t>As needed</t>
        </is>
      </c>
      <c r="G62" s="153" t="inlineStr">
        <is>
          <t>Amazon.ca</t>
        </is>
      </c>
      <c r="H62" s="154" t="inlineStr">
        <is>
          <t>Bed safety fuse; always replace with identical rating — never bridge</t>
        </is>
      </c>
    </row>
    <row r="63">
      <c r="A63" s="38" t="n"/>
      <c r="B63" s="17" t="n"/>
      <c r="C63" s="17" t="n"/>
      <c r="D63" s="17" t="n"/>
      <c r="E63" s="17" t="n"/>
      <c r="F63" s="17" t="n"/>
      <c r="G63" s="17" t="n"/>
      <c r="H63" s="18" t="n"/>
    </row>
    <row r="64" ht="24" customHeight="1">
      <c r="A64" s="134" t="inlineStr">
        <is>
          <t>TOTAL SUPPLY CHECKLIST COST</t>
        </is>
      </c>
      <c r="B64" s="147" t="n"/>
      <c r="C64" s="147" t="n"/>
      <c r="D64" s="148" t="n"/>
      <c r="E64" s="136">
        <f>SUM(E5:E9,E11:E13,E15:E18,E20:E25,E27:E31,E33:E42,E44:E50,E52:E62)</f>
        <v/>
      </c>
      <c r="F64" s="137" t="n"/>
      <c r="G64" s="137" t="n"/>
      <c r="H64" s="138" t="n"/>
    </row>
    <row r="65" ht="28" customHeight="1">
      <c r="A65" s="139" t="inlineStr">
        <is>
          <t>Prices are CAD estimates as of May 2026. Reorder frequencies assume moderate use (~20hrs/week). Adjust quantities for your actual print volume.</t>
        </is>
      </c>
    </row>
  </sheetData>
  <mergeCells count="12">
    <mergeCell ref="A4:H4"/>
    <mergeCell ref="A26:H26"/>
    <mergeCell ref="A65:H65"/>
    <mergeCell ref="A43:H43"/>
    <mergeCell ref="A2:H2"/>
    <mergeCell ref="A51:H51"/>
    <mergeCell ref="A10:H10"/>
    <mergeCell ref="A64:D64"/>
    <mergeCell ref="A19:H19"/>
    <mergeCell ref="A14:H14"/>
    <mergeCell ref="A1:H1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2026-05-15T10:10:22Z</dcterms:created>
  <dcterms:modified xmlns:dcterms="http://purl.org/dc/terms/" xmlns:xsi="http://www.w3.org/2001/XMLSchema-instance" xsi:type="dcterms:W3CDTF">2026-05-15T10:33:27Z</dcterms:modified>
</cp:coreProperties>
</file>