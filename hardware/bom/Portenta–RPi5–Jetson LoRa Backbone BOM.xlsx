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Summary" sheetId="1" state="visible" r:id="rId1"/>
    <sheet xmlns:r="http://schemas.openxmlformats.org/officeDocument/2006/relationships" name="Compute" sheetId="2" state="visible" r:id="rId2"/>
    <sheet xmlns:r="http://schemas.openxmlformats.org/officeDocument/2006/relationships" name="LoRa-Gateway" sheetId="3" state="visible" r:id="rId3"/>
    <sheet xmlns:r="http://schemas.openxmlformats.org/officeDocument/2006/relationships" name="Power" sheetId="4" state="visible" r:id="rId4"/>
    <sheet xmlns:r="http://schemas.openxmlformats.org/officeDocument/2006/relationships" name="Networking-Uplink" sheetId="5" state="visible" r:id="rId5"/>
    <sheet xmlns:r="http://schemas.openxmlformats.org/officeDocument/2006/relationships" name="Mechanical-En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6"/>
    </font>
    <font>
      <b val="1"/>
      <color rgb="001F3864"/>
      <sz val="13"/>
    </font>
    <font>
      <b val="1"/>
      <color rgb="00FFFFFF"/>
      <sz val="12"/>
    </font>
    <font>
      <i val="1"/>
      <color rgb="009C5700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F0FE"/>
        <bgColor rgb="00E8F0FE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8F9FA"/>
        <bgColor rgb="00F8F9FA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</fills>
  <borders count="23">
    <border>
      <left/>
      <right/>
      <top/>
      <bottom/>
      <diagonal/>
    </border>
    <border>
      <left/>
      <right/>
      <top style="medium">
        <color rgb="00000000"/>
      </top>
      <bottom/>
    </border>
    <border>
      <left style="medium">
        <color rgb="00000000"/>
      </left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2">
    <xf numFmtId="0" fontId="0" fillId="0" borderId="0"/>
    <xf numFmtId="0" fontId="3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wrapText="1"/>
    </xf>
    <xf numFmtId="0" fontId="0" fillId="3" borderId="11" applyAlignment="1" pivotButton="0" quotePrefix="0" xfId="0">
      <alignment horizontal="center"/>
    </xf>
    <xf numFmtId="0" fontId="0" fillId="3" borderId="11" applyAlignment="1" pivotButton="0" quotePrefix="0" xfId="0">
      <alignment wrapText="1"/>
    </xf>
    <xf numFmtId="164" fontId="0" fillId="3" borderId="11" applyAlignment="1" pivotButton="0" quotePrefix="0" xfId="0">
      <alignment wrapText="1"/>
    </xf>
    <xf numFmtId="0" fontId="3" fillId="3" borderId="11" applyAlignment="1" pivotButton="0" quotePrefix="0" xfId="1">
      <alignment wrapText="1"/>
    </xf>
    <xf numFmtId="0" fontId="0" fillId="4" borderId="11" applyAlignment="1" pivotButton="0" quotePrefix="0" xfId="0">
      <alignment horizontal="center"/>
    </xf>
    <xf numFmtId="0" fontId="0" fillId="4" borderId="11" applyAlignment="1" pivotButton="0" quotePrefix="0" xfId="0">
      <alignment wrapText="1"/>
    </xf>
    <xf numFmtId="164" fontId="0" fillId="4" borderId="11" applyAlignment="1" pivotButton="0" quotePrefix="0" xfId="0">
      <alignment wrapText="1"/>
    </xf>
    <xf numFmtId="0" fontId="3" fillId="4" borderId="11" applyAlignment="1" pivotButton="0" quotePrefix="0" xfId="1">
      <alignment wrapText="1"/>
    </xf>
    <xf numFmtId="0" fontId="4" fillId="5" borderId="11" pivotButton="0" quotePrefix="0" xfId="0"/>
    <xf numFmtId="164" fontId="4" fillId="5" borderId="11" pivotButton="0" quotePrefix="0" xfId="0"/>
    <xf numFmtId="0" fontId="5" fillId="2" borderId="0" applyAlignment="1" pivotButton="0" quotePrefix="0" xfId="0">
      <alignment horizontal="center" vertical="center"/>
    </xf>
    <xf numFmtId="0" fontId="2" fillId="2" borderId="12" applyAlignment="1" pivotButton="0" quotePrefix="0" xfId="0">
      <alignment horizontal="right"/>
    </xf>
    <xf numFmtId="0" fontId="0" fillId="6" borderId="13" applyAlignment="1" pivotButton="0" quotePrefix="0" xfId="0">
      <alignment wrapText="1"/>
    </xf>
    <xf numFmtId="0" fontId="0" fillId="0" borderId="13" pivotButton="0" quotePrefix="0" xfId="0"/>
    <xf numFmtId="0" fontId="0" fillId="0" borderId="14" pivotButton="0" quotePrefix="0" xfId="0"/>
    <xf numFmtId="0" fontId="2" fillId="2" borderId="15" applyAlignment="1" pivotButton="0" quotePrefix="0" xfId="0">
      <alignment horizontal="right"/>
    </xf>
    <xf numFmtId="0" fontId="0" fillId="6" borderId="11" applyAlignment="1" pivotButton="0" quotePrefix="0" xfId="0">
      <alignment wrapText="1"/>
    </xf>
    <xf numFmtId="0" fontId="0" fillId="0" borderId="11" pivotButton="0" quotePrefix="0" xfId="0"/>
    <xf numFmtId="0" fontId="0" fillId="0" borderId="16" pivotButton="0" quotePrefix="0" xfId="0"/>
    <xf numFmtId="0" fontId="2" fillId="2" borderId="17" applyAlignment="1" pivotButton="0" quotePrefix="0" xfId="0">
      <alignment horizontal="right"/>
    </xf>
    <xf numFmtId="0" fontId="0" fillId="6" borderId="18" applyAlignment="1" pivotButton="0" quotePrefix="0" xfId="0">
      <alignment wrapText="1"/>
    </xf>
    <xf numFmtId="0" fontId="0" fillId="0" borderId="18" pivotButton="0" quotePrefix="0" xfId="0"/>
    <xf numFmtId="0" fontId="0" fillId="0" borderId="19" pivotButton="0" quotePrefix="0" xfId="0"/>
    <xf numFmtId="0" fontId="6" fillId="0" borderId="0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wrapText="1"/>
    </xf>
    <xf numFmtId="0" fontId="2" fillId="2" borderId="13" applyAlignment="1" pivotButton="0" quotePrefix="0" xfId="0">
      <alignment horizontal="center" wrapText="1"/>
    </xf>
    <xf numFmtId="0" fontId="2" fillId="2" borderId="14" applyAlignment="1" pivotButton="0" quotePrefix="0" xfId="0">
      <alignment horizontal="center" wrapText="1"/>
    </xf>
    <xf numFmtId="0" fontId="0" fillId="3" borderId="15" applyAlignment="1" pivotButton="0" quotePrefix="0" xfId="0">
      <alignment wrapText="1"/>
    </xf>
    <xf numFmtId="0" fontId="0" fillId="3" borderId="16" applyAlignment="1" pivotButton="0" quotePrefix="0" xfId="0">
      <alignment wrapText="1"/>
    </xf>
    <xf numFmtId="0" fontId="0" fillId="4" borderId="15" applyAlignment="1" pivotButton="0" quotePrefix="0" xfId="0">
      <alignment wrapText="1"/>
    </xf>
    <xf numFmtId="0" fontId="0" fillId="4" borderId="16" applyAlignment="1" pivotButton="0" quotePrefix="0" xfId="0">
      <alignment wrapText="1"/>
    </xf>
    <xf numFmtId="0" fontId="7" fillId="7" borderId="20" pivotButton="0" quotePrefix="0" xfId="0"/>
    <xf numFmtId="0" fontId="7" fillId="7" borderId="21" applyAlignment="1" pivotButton="0" quotePrefix="0" xfId="0">
      <alignment horizontal="center"/>
    </xf>
    <xf numFmtId="164" fontId="7" fillId="7" borderId="21" pivotButton="0" quotePrefix="0" xfId="0"/>
    <xf numFmtId="0" fontId="7" fillId="7" borderId="21" pivotButton="0" quotePrefix="0" xfId="0"/>
    <xf numFmtId="0" fontId="7" fillId="7" borderId="22" pivotButton="0" quotePrefix="0" xfId="0"/>
    <xf numFmtId="0" fontId="8" fillId="8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ore.arduino.cc" TargetMode="External" Id="rId1"/><Relationship Type="http://schemas.openxmlformats.org/officeDocument/2006/relationships/hyperlink" Target="https://amazon.com" TargetMode="External" Id="rId2"/><Relationship Type="http://schemas.openxmlformats.org/officeDocument/2006/relationships/hyperlink" Target="https://pishop.us" TargetMode="External" Id="rId3"/><Relationship Type="http://schemas.openxmlformats.org/officeDocument/2006/relationships/hyperlink" Target="https://pishop.us" TargetMode="External" Id="rId4"/><Relationship Type="http://schemas.openxmlformats.org/officeDocument/2006/relationships/hyperlink" Target="https://amazon.com" TargetMode="External" Id="rId5"/><Relationship Type="http://schemas.openxmlformats.org/officeDocument/2006/relationships/hyperlink" Target="https://seeedstudio.com" TargetMode="External" Id="rId6"/><Relationship Type="http://schemas.openxmlformats.org/officeDocument/2006/relationships/hyperlink" Target="https://amazon.com" TargetMode="External" Id="rId7"/><Relationship Type="http://schemas.openxmlformats.org/officeDocument/2006/relationships/hyperlink" Target="https://waveshare.com" TargetMode="External" Id="rId8"/><Relationship Type="http://schemas.openxmlformats.org/officeDocument/2006/relationships/hyperlink" Target="https://amazon.com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store.rakwireless.com" TargetMode="External" Id="rId1"/><Relationship Type="http://schemas.openxmlformats.org/officeDocument/2006/relationships/hyperlink" Target="https://rokland.com" TargetMode="External" Id="rId2"/><Relationship Type="http://schemas.openxmlformats.org/officeDocument/2006/relationships/hyperlink" Target="https://dragino.com" TargetMode="External" Id="rId3"/><Relationship Type="http://schemas.openxmlformats.org/officeDocument/2006/relationships/hyperlink" Target="https://waveshare.com" TargetMode="External" Id="rId4"/><Relationship Type="http://schemas.openxmlformats.org/officeDocument/2006/relationships/hyperlink" Target="https://ebyte.com" TargetMode="External" Id="rId5"/><Relationship Type="http://schemas.openxmlformats.org/officeDocument/2006/relationships/hyperlink" Target="https://seeedstudio.com" TargetMode="External" Id="rId6"/><Relationship Type="http://schemas.openxmlformats.org/officeDocument/2006/relationships/hyperlink" Target="https://rokland.com" TargetMode="External" Id="rId7"/><Relationship Type="http://schemas.openxmlformats.org/officeDocument/2006/relationships/hyperlink" Target="https://amazon.com" TargetMode="External" Id="rId8"/><Relationship Type="http://schemas.openxmlformats.org/officeDocument/2006/relationships/hyperlink" Target="https://timesmicrowave.com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jameco.com" TargetMode="External" Id="rId1"/><Relationship Type="http://schemas.openxmlformats.org/officeDocument/2006/relationships/hyperlink" Target="https://jameco.com" TargetMode="External" Id="rId2"/><Relationship Type="http://schemas.openxmlformats.org/officeDocument/2006/relationships/hyperlink" Target="https://victronenergy.com" TargetMode="External" Id="rId3"/><Relationship Type="http://schemas.openxmlformats.org/officeDocument/2006/relationships/hyperlink" Target="https://renogy.com" TargetMode="External" Id="rId4"/><Relationship Type="http://schemas.openxmlformats.org/officeDocument/2006/relationships/hyperlink" Target="https://battlebornbatteries.com" TargetMode="External" Id="rId5"/><Relationship Type="http://schemas.openxmlformats.org/officeDocument/2006/relationships/hyperlink" Target="https://amazon.com" TargetMode="External" Id="rId6"/><Relationship Type="http://schemas.openxmlformats.org/officeDocument/2006/relationships/hyperlink" Target="https://amazon.com" TargetMode="External" Id="rId7"/><Relationship Type="http://schemas.openxmlformats.org/officeDocument/2006/relationships/hyperlink" Target="https://amazon.co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starlink.com" TargetMode="External" Id="rId1"/><Relationship Type="http://schemas.openxmlformats.org/officeDocument/2006/relationships/hyperlink" Target="https://starlink.com" TargetMode="External" Id="rId2"/><Relationship Type="http://schemas.openxmlformats.org/officeDocument/2006/relationships/hyperlink" Target="https://gl-inet.com" TargetMode="External" Id="rId3"/><Relationship Type="http://schemas.openxmlformats.org/officeDocument/2006/relationships/hyperlink" Target="https://teltonika-networks.com" TargetMode="External" Id="rId4"/><Relationship Type="http://schemas.openxmlformats.org/officeDocument/2006/relationships/hyperlink" Target="https://amazon.com" TargetMode="External" Id="rId5"/><Relationship Type="http://schemas.openxmlformats.org/officeDocument/2006/relationships/hyperlink" Target="https://cisco.com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pelican.com" TargetMode="External" Id="rId1"/><Relationship Type="http://schemas.openxmlformats.org/officeDocument/2006/relationships/hyperlink" Target="https://pelican.com" TargetMode="External" Id="rId2"/><Relationship Type="http://schemas.openxmlformats.org/officeDocument/2006/relationships/hyperlink" Target="https://polycase.com" TargetMode="External" Id="rId3"/><Relationship Type="http://schemas.openxmlformats.org/officeDocument/2006/relationships/hyperlink" Target="https://automationdirect.com" TargetMode="External" Id="rId4"/><Relationship Type="http://schemas.openxmlformats.org/officeDocument/2006/relationships/hyperlink" Target="https://amazon.com" TargetMode="External" Id="rId5"/><Relationship Type="http://schemas.openxmlformats.org/officeDocument/2006/relationships/hyperlink" Target="https://digikey.com" TargetMode="External" Id="rId6"/><Relationship Type="http://schemas.openxmlformats.org/officeDocument/2006/relationships/hyperlink" Target="https://amazon.com" TargetMode="External" Id="rId7"/><Relationship Type="http://schemas.openxmlformats.org/officeDocument/2006/relationships/hyperlink" Target="https://amazon.com" TargetMode="External" Id="rId8"/><Relationship Type="http://schemas.openxmlformats.org/officeDocument/2006/relationships/hyperlink" Target="https://amazon.com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8" customWidth="1" min="4" max="4"/>
    <col width="22" customWidth="1" min="5" max="5"/>
    <col width="55" customWidth="1" min="6" max="6"/>
  </cols>
  <sheetData>
    <row r="1" ht="36" customHeight="1">
      <c r="A1" s="13" t="inlineStr">
        <is>
          <t>Portenta – RPi5 – Jetson LoRa Backbone — Bill of Materials</t>
        </is>
      </c>
    </row>
    <row r="2"/>
    <row r="3" ht="20" customHeight="1">
      <c r="A3" s="14" t="inlineStr">
        <is>
          <t>Report Title</t>
        </is>
      </c>
      <c r="B3" s="15" t="inlineStr">
        <is>
          <t>Portenta → RPi5 → Jetson Nano LoRa Backbone BOM</t>
        </is>
      </c>
      <c r="C3" s="16" t="n"/>
      <c r="D3" s="16" t="n"/>
      <c r="E3" s="16" t="n"/>
      <c r="F3" s="17" t="n"/>
    </row>
    <row r="4" ht="20" customHeight="1">
      <c r="A4" s="18" t="inlineStr">
        <is>
          <t>Revision</t>
        </is>
      </c>
      <c r="B4" s="19" t="inlineStr">
        <is>
          <t>v2.0</t>
        </is>
      </c>
      <c r="C4" s="20" t="n"/>
      <c r="D4" s="20" t="n"/>
      <c r="E4" s="20" t="n"/>
      <c r="F4" s="21" t="n"/>
    </row>
    <row r="5" ht="20" customHeight="1">
      <c r="A5" s="18" t="inlineStr">
        <is>
          <t>Generated</t>
        </is>
      </c>
      <c r="B5" s="19" t="inlineStr">
        <is>
          <t>May 15, 2026</t>
        </is>
      </c>
      <c r="C5" s="20" t="n"/>
      <c r="D5" s="20" t="n"/>
      <c r="E5" s="20" t="n"/>
      <c r="F5" s="21" t="n"/>
    </row>
    <row r="6" ht="20" customHeight="1">
      <c r="A6" s="18" t="inlineStr">
        <is>
          <t>Currency</t>
        </is>
      </c>
      <c r="B6" s="19" t="inlineStr">
        <is>
          <t>USD</t>
        </is>
      </c>
      <c r="C6" s="20" t="n"/>
      <c r="D6" s="20" t="n"/>
      <c r="E6" s="20" t="n"/>
      <c r="F6" s="21" t="n"/>
    </row>
    <row r="7" ht="48" customHeight="1">
      <c r="A7" s="22" t="inlineStr">
        <is>
          <t>Notes</t>
        </is>
      </c>
      <c r="B7" s="23" t="inlineStr">
        <is>
          <t>All prices are current as of May 2026. Raspberry Pi 5 reflects Feb 2026 price hike. Jetson Nano 4GB is EOL; Orin Nano Super recommended as successor. Prices exclude applicable taxes, duties, and shipping.</t>
        </is>
      </c>
      <c r="C7" s="24" t="n"/>
      <c r="D7" s="24" t="n"/>
      <c r="E7" s="24" t="n"/>
      <c r="F7" s="25" t="n"/>
    </row>
    <row r="8"/>
    <row r="9" ht="26" customHeight="1">
      <c r="A9" s="26" t="inlineStr">
        <is>
          <t>BOM Summary — Per-Unit System Build</t>
        </is>
      </c>
    </row>
    <row r="10" ht="28" customHeight="1">
      <c r="A10" s="27" t="inlineStr">
        <is>
          <t>Section</t>
        </is>
      </c>
      <c r="B10" s="28" t="inlineStr">
        <is>
          <t># Line Items</t>
        </is>
      </c>
      <c r="C10" s="28" t="inlineStr">
        <is>
          <t>Subtotal (USD)</t>
        </is>
      </c>
      <c r="D10" s="28" t="inlineStr">
        <is>
          <t>Hardware Only?</t>
        </is>
      </c>
      <c r="E10" s="28" t="inlineStr">
        <is>
          <t>Sheet Reference</t>
        </is>
      </c>
      <c r="F10" s="29" t="inlineStr">
        <is>
          <t>Notes</t>
        </is>
      </c>
    </row>
    <row r="11" ht="36" customHeight="1">
      <c r="A11" s="30" t="inlineStr">
        <is>
          <t>Compute</t>
        </is>
      </c>
      <c r="B11" s="3" t="n">
        <v>9</v>
      </c>
      <c r="C11" s="5">
        <f>'Compute'!G12</f>
        <v/>
      </c>
      <c r="D11" s="3" t="inlineStr">
        <is>
          <t>Yes</t>
        </is>
      </c>
      <c r="E11" s="4" t="inlineStr">
        <is>
          <t>Compute</t>
        </is>
      </c>
      <c r="F11" s="31" t="inlineStr">
        <is>
          <t>Core processing backbone</t>
        </is>
      </c>
    </row>
    <row r="12" ht="36" customHeight="1">
      <c r="A12" s="32" t="inlineStr">
        <is>
          <t>LoRa / Gateway</t>
        </is>
      </c>
      <c r="B12" s="7" t="n">
        <v>9</v>
      </c>
      <c r="C12" s="9">
        <f>'LoRa-Gateway'!G12</f>
        <v/>
      </c>
      <c r="D12" s="7" t="inlineStr">
        <is>
          <t>Yes</t>
        </is>
      </c>
      <c r="E12" s="8" t="inlineStr">
        <is>
          <t>LoRa-Gateway</t>
        </is>
      </c>
      <c r="F12" s="33" t="inlineStr">
        <is>
          <t>RF infrastructure</t>
        </is>
      </c>
    </row>
    <row r="13" ht="36" customHeight="1">
      <c r="A13" s="30" t="inlineStr">
        <is>
          <t>Power</t>
        </is>
      </c>
      <c r="B13" s="3" t="n">
        <v>8</v>
      </c>
      <c r="C13" s="5">
        <f>'Power'!G11</f>
        <v/>
      </c>
      <c r="D13" s="3" t="inlineStr">
        <is>
          <t>Yes</t>
        </is>
      </c>
      <c r="E13" s="4" t="inlineStr">
        <is>
          <t>Power</t>
        </is>
      </c>
      <c r="F13" s="31" t="inlineStr">
        <is>
          <t>Distribution and off-grid</t>
        </is>
      </c>
    </row>
    <row r="14" ht="36" customHeight="1">
      <c r="A14" s="32" t="inlineStr">
        <is>
          <t>Networking / Uplink</t>
        </is>
      </c>
      <c r="B14" s="7" t="n">
        <v>6</v>
      </c>
      <c r="C14" s="9">
        <f>'Networking-Uplink'!G9</f>
        <v/>
      </c>
      <c r="D14" s="7" t="inlineStr">
        <is>
          <t>No — see notes</t>
        </is>
      </c>
      <c r="E14" s="8" t="inlineStr">
        <is>
          <t>Networking-Uplink</t>
        </is>
      </c>
      <c r="F14" s="33" t="inlineStr">
        <is>
          <t>Backhaul and connectivity — excludes Starlink monthly service ($50/mo)</t>
        </is>
      </c>
    </row>
    <row r="15" ht="36" customHeight="1">
      <c r="A15" s="30" t="inlineStr">
        <is>
          <t>Mechanical / Environmental</t>
        </is>
      </c>
      <c r="B15" s="3" t="n">
        <v>9</v>
      </c>
      <c r="C15" s="5">
        <f>'Mechanical-Env'!G12</f>
        <v/>
      </c>
      <c r="D15" s="3" t="inlineStr">
        <is>
          <t>Yes</t>
        </is>
      </c>
      <c r="E15" s="4" t="inlineStr">
        <is>
          <t>Mechanical-Env</t>
        </is>
      </c>
      <c r="F15" s="31" t="inlineStr">
        <is>
          <t>Enclosures and mounting</t>
        </is>
      </c>
    </row>
    <row r="16" ht="36" customHeight="1">
      <c r="A16" s="34" t="inlineStr">
        <is>
          <t>TOTAL</t>
        </is>
      </c>
      <c r="B16" s="35" t="n">
        <v>41</v>
      </c>
      <c r="C16" s="36">
        <f>SUM(C11:C15)-'Networking-Uplink'!G4</f>
        <v/>
      </c>
      <c r="D16" s="35" t="inlineStr">
        <is>
          <t>Hardware Only</t>
        </is>
      </c>
      <c r="E16" s="37" t="inlineStr">
        <is>
          <t>All Sheets</t>
        </is>
      </c>
      <c r="F16" s="38" t="inlineStr">
        <is>
          <t>Per-unit system build — grand total hardware only (Starlink $50/mo service plan excluded)</t>
        </is>
      </c>
    </row>
    <row r="17"/>
    <row r="18" ht="40" customHeight="1">
      <c r="A18" s="39" t="inlineStr">
        <is>
          <t>⚠  Note: Starlink Roam service plan ($50/mo) is a recurring cost and is EXCLUDED from all hardware subtotals and the grand total. Prices as of May 2026. Taxes, duties, and shipping not included.</t>
        </is>
      </c>
    </row>
  </sheetData>
  <mergeCells count="8">
    <mergeCell ref="B4:F4"/>
    <mergeCell ref="B7:F7"/>
    <mergeCell ref="B6:F6"/>
    <mergeCell ref="A1:F1"/>
    <mergeCell ref="B3:F3"/>
    <mergeCell ref="B5:F5"/>
    <mergeCell ref="A9:F9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48" customWidth="1" min="4" max="4"/>
    <col width="6" customWidth="1" min="5" max="5"/>
    <col width="16" customWidth="1" min="6" max="6"/>
    <col width="18" customWidth="1" min="7" max="7"/>
    <col width="20" customWidth="1" min="8" max="8"/>
    <col width="30" customWidth="1" min="9" max="9"/>
    <col width="14" customWidth="1" min="10" max="10"/>
    <col width="42" customWidth="1" min="11" max="11"/>
  </cols>
  <sheetData>
    <row r="1" ht="28" customHeight="1">
      <c r="A1" s="1" t="inlineStr">
        <is>
          <t>Compute Hardware — Arduino Portenta / Raspberry Pi 5 / Jetson Orin Nano Super</t>
        </is>
      </c>
    </row>
    <row r="2" ht="32" customHeight="1">
      <c r="A2" s="2" t="inlineStr">
        <is>
          <t>Line #</t>
        </is>
      </c>
      <c r="B2" s="2" t="inlineStr">
        <is>
          <t>Part Name</t>
        </is>
      </c>
      <c r="C2" s="2" t="inlineStr">
        <is>
          <t>Part Number / SKU</t>
        </is>
      </c>
      <c r="D2" s="2" t="inlineStr">
        <is>
          <t>Description</t>
        </is>
      </c>
      <c r="E2" s="2" t="inlineStr">
        <is>
          <t>Qty</t>
        </is>
      </c>
      <c r="F2" s="2" t="inlineStr">
        <is>
          <t>Unit Price (USD)</t>
        </is>
      </c>
      <c r="G2" s="2" t="inlineStr">
        <is>
          <t>Extended Price (USD)</t>
        </is>
      </c>
      <c r="H2" s="2" t="inlineStr">
        <is>
          <t>Supplier</t>
        </is>
      </c>
      <c r="I2" s="2" t="inlineStr">
        <is>
          <t>Supplier URL</t>
        </is>
      </c>
      <c r="J2" s="2" t="inlineStr">
        <is>
          <t>Lead Time</t>
        </is>
      </c>
      <c r="K2" s="2" t="inlineStr">
        <is>
          <t>Notes</t>
        </is>
      </c>
    </row>
    <row r="3" ht="48" customHeight="1">
      <c r="A3" s="3" t="n">
        <v>1</v>
      </c>
      <c r="B3" s="4" t="inlineStr">
        <is>
          <t>Arduino Portenta X8</t>
        </is>
      </c>
      <c r="C3" s="4" t="inlineStr">
        <is>
          <t>ABX00049</t>
        </is>
      </c>
      <c r="D3" s="4" t="inlineStr">
        <is>
          <t>Industrial 9-core SoM: NXP i.MX 8M Mini (4x Cortex-A53 @1.8GHz + M4) + STM32H747 dual M7/M4. Linux + Arduino RTOS, Wi-Fi/BT, PSA certified</t>
        </is>
      </c>
      <c r="E3" s="3" t="n">
        <v>1</v>
      </c>
      <c r="F3" s="5" t="n">
        <v>321</v>
      </c>
      <c r="G3" s="5">
        <f>E3*F3</f>
        <v/>
      </c>
      <c r="H3" s="4" t="inlineStr">
        <is>
          <t>Arduino Official Store</t>
        </is>
      </c>
      <c r="I3" s="6" t="inlineStr">
        <is>
          <t>store.arduino.cc</t>
        </is>
      </c>
      <c r="J3" s="4" t="inlineStr">
        <is>
          <t>1–3 days</t>
        </is>
      </c>
      <c r="K3" s="4" t="inlineStr">
        <is>
          <t>Field edge MCU / sensor aggregator; acts as LoRa node host</t>
        </is>
      </c>
    </row>
    <row r="4" ht="48" customHeight="1">
      <c r="A4" s="7" t="n">
        <v>2</v>
      </c>
      <c r="B4" s="8" t="inlineStr">
        <is>
          <t>Arduino Portenta H7</t>
        </is>
      </c>
      <c r="C4" s="8" t="inlineStr">
        <is>
          <t>ABX00042</t>
        </is>
      </c>
      <c r="D4" s="8" t="inlineStr">
        <is>
          <t>Dual-core STM32H747: Cortex-M7 @480MHz + M4 @240MHz. 8MB SDRAM, 16MB Flash, Wi-Fi, BT 5.1</t>
        </is>
      </c>
      <c r="E4" s="7" t="n">
        <v>1</v>
      </c>
      <c r="F4" s="9" t="n">
        <v>105</v>
      </c>
      <c r="G4" s="9">
        <f>E4*F4</f>
        <v/>
      </c>
      <c r="H4" s="8" t="inlineStr">
        <is>
          <t>Amazon / Arduino Store</t>
        </is>
      </c>
      <c r="I4" s="10" t="inlineStr">
        <is>
          <t>amazon.com</t>
        </is>
      </c>
      <c r="J4" s="8" t="inlineStr">
        <is>
          <t>1–5 days</t>
        </is>
      </c>
      <c r="K4" s="8" t="inlineStr">
        <is>
          <t>Real-time co-processor for sensor I/O and deterministic control loops</t>
        </is>
      </c>
    </row>
    <row r="5" ht="48" customHeight="1">
      <c r="A5" s="3" t="n">
        <v>3</v>
      </c>
      <c r="B5" s="4" t="inlineStr">
        <is>
          <t>Raspberry Pi 5 — 8GB</t>
        </is>
      </c>
      <c r="C5" s="4" t="inlineStr">
        <is>
          <t>SC1111</t>
        </is>
      </c>
      <c r="D5" s="4" t="inlineStr">
        <is>
          <t>BCM2712 quad-core Cortex-A76 @2.4GHz, 8GB LPDDR4X, PCIe Gen 2, dual 4K display, USB 3.0</t>
        </is>
      </c>
      <c r="E5" s="3" t="n">
        <v>1</v>
      </c>
      <c r="F5" s="5" t="n">
        <v>125</v>
      </c>
      <c r="G5" s="5">
        <f>E5*F5</f>
        <v/>
      </c>
      <c r="H5" s="4" t="inlineStr">
        <is>
          <t>PiShop / Adafruit</t>
        </is>
      </c>
      <c r="I5" s="6" t="inlineStr">
        <is>
          <t>pishop.us</t>
        </is>
      </c>
      <c r="J5" s="4" t="inlineStr">
        <is>
          <t>In stock</t>
        </is>
      </c>
      <c r="K5" s="4" t="inlineStr">
        <is>
          <t>Mid-tier gateway host; runs ChirpStack NS, MQTT broker, data pipeline. Price reflects Feb 2026 hike.</t>
        </is>
      </c>
    </row>
    <row r="6" ht="48" customHeight="1">
      <c r="A6" s="7" t="n">
        <v>4</v>
      </c>
      <c r="B6" s="8" t="inlineStr">
        <is>
          <t>RPi5 Active Cooler</t>
        </is>
      </c>
      <c r="C6" s="8" t="inlineStr">
        <is>
          <t>SC1148</t>
        </is>
      </c>
      <c r="D6" s="8" t="inlineStr">
        <is>
          <t>Official heatsink + blower fan for RPi5; clips to SoC directly</t>
        </is>
      </c>
      <c r="E6" s="7" t="n">
        <v>1</v>
      </c>
      <c r="F6" s="9" t="n">
        <v>5</v>
      </c>
      <c r="G6" s="9">
        <f>E6*F6</f>
        <v/>
      </c>
      <c r="H6" s="8" t="inlineStr">
        <is>
          <t>PiShop / Adafruit</t>
        </is>
      </c>
      <c r="I6" s="10" t="inlineStr">
        <is>
          <t>pishop.us</t>
        </is>
      </c>
      <c r="J6" s="8" t="inlineStr">
        <is>
          <t>In stock</t>
        </is>
      </c>
      <c r="K6" s="8" t="inlineStr">
        <is>
          <t>Required for sustained full-load operation</t>
        </is>
      </c>
    </row>
    <row r="7" ht="48" customHeight="1">
      <c r="A7" s="3" t="n">
        <v>5</v>
      </c>
      <c r="B7" s="4" t="inlineStr">
        <is>
          <t>Samsung 256GB microSD (A2, V30)</t>
        </is>
      </c>
      <c r="C7" s="4" t="inlineStr">
        <is>
          <t>MB-MC256KA</t>
        </is>
      </c>
      <c r="D7" s="4" t="inlineStr">
        <is>
          <t>UHS-I U3 A2 microSD; rated for random read/write on SBC workloads</t>
        </is>
      </c>
      <c r="E7" s="3" t="n">
        <v>1</v>
      </c>
      <c r="F7" s="5" t="n">
        <v>22</v>
      </c>
      <c r="G7" s="5">
        <f>E7*F7</f>
        <v/>
      </c>
      <c r="H7" s="4" t="inlineStr">
        <is>
          <t>Amazon</t>
        </is>
      </c>
      <c r="I7" s="6" t="inlineStr">
        <is>
          <t>amazon.com</t>
        </is>
      </c>
      <c r="J7" s="4" t="inlineStr">
        <is>
          <t>Next-day</t>
        </is>
      </c>
      <c r="K7" s="4" t="inlineStr">
        <is>
          <t>Boot + OS media for RPi5</t>
        </is>
      </c>
    </row>
    <row r="8" ht="48" customHeight="1">
      <c r="A8" s="7" t="n">
        <v>6</v>
      </c>
      <c r="B8" s="8" t="inlineStr">
        <is>
          <t>NVIDIA Jetson Orin Nano Super 8GB Dev Kit</t>
        </is>
      </c>
      <c r="C8" s="8" t="inlineStr">
        <is>
          <t>945-13767-0003-000</t>
        </is>
      </c>
      <c r="D8" s="8" t="inlineStr">
        <is>
          <t>8-core Arm Cortex-A78AE, 1024-core Ampere GPU, 67 TOPS AI, 8GB LPDDR5, replaces EOL Jetson Nano 4GB</t>
        </is>
      </c>
      <c r="E8" s="7" t="n">
        <v>1</v>
      </c>
      <c r="F8" s="9" t="n">
        <v>249</v>
      </c>
      <c r="G8" s="9">
        <f>E8*F8</f>
        <v/>
      </c>
      <c r="H8" s="8" t="inlineStr">
        <is>
          <t>NVIDIA / Seeed Studio</t>
        </is>
      </c>
      <c r="I8" s="10" t="inlineStr">
        <is>
          <t>seeedstudio.com</t>
        </is>
      </c>
      <c r="J8" s="8" t="inlineStr">
        <is>
          <t>3–7 days</t>
        </is>
      </c>
      <c r="K8" s="8" t="inlineStr">
        <is>
          <t>Primary AI inference node; backbone top-tier compute. Jetson Nano 4GB is EOL — Orin Nano Super is the current-gen successor.</t>
        </is>
      </c>
    </row>
    <row r="9" ht="48" customHeight="1">
      <c r="A9" s="3" t="n">
        <v>7</v>
      </c>
      <c r="B9" s="4" t="inlineStr">
        <is>
          <t>WD Blue SN580 NVMe SSD 500GB</t>
        </is>
      </c>
      <c r="C9" s="4" t="inlineStr">
        <is>
          <t>WDS500G3B0E</t>
        </is>
      </c>
      <c r="D9" s="4" t="inlineStr">
        <is>
          <t>PCIe Gen 4 M.2 2242; high endurance for edge logging and model storage</t>
        </is>
      </c>
      <c r="E9" s="3" t="n">
        <v>1</v>
      </c>
      <c r="F9" s="5" t="n">
        <v>45</v>
      </c>
      <c r="G9" s="5">
        <f>E9*F9</f>
        <v/>
      </c>
      <c r="H9" s="4" t="inlineStr">
        <is>
          <t>Amazon</t>
        </is>
      </c>
      <c r="I9" s="6" t="inlineStr">
        <is>
          <t>amazon.com</t>
        </is>
      </c>
      <c r="J9" s="4" t="inlineStr">
        <is>
          <t>Next-day</t>
        </is>
      </c>
      <c r="K9" s="4" t="inlineStr">
        <is>
          <t>Storage for Jetson Orin Nano Super via M.2 slot</t>
        </is>
      </c>
    </row>
    <row r="10" ht="48" customHeight="1">
      <c r="A10" s="7" t="n">
        <v>8</v>
      </c>
      <c r="B10" s="8" t="inlineStr">
        <is>
          <t>Waveshare CM4/RPi5 PoE+ HAT</t>
        </is>
      </c>
      <c r="C10" s="8" t="inlineStr">
        <is>
          <t>Waveshare PoE+ HAT-B</t>
        </is>
      </c>
      <c r="D10" s="8" t="inlineStr">
        <is>
          <t>802.3at PoE+ HAT for RPi5; provides 5V/4A from 48V PoE line, onboard fan header</t>
        </is>
      </c>
      <c r="E10" s="7" t="n">
        <v>1</v>
      </c>
      <c r="F10" s="9" t="n">
        <v>28</v>
      </c>
      <c r="G10" s="9">
        <f>E10*F10</f>
        <v/>
      </c>
      <c r="H10" s="8" t="inlineStr">
        <is>
          <t>Waveshare / Amazon</t>
        </is>
      </c>
      <c r="I10" s="10" t="inlineStr">
        <is>
          <t>waveshare.com</t>
        </is>
      </c>
      <c r="J10" s="8" t="inlineStr">
        <is>
          <t>5–10 days</t>
        </is>
      </c>
      <c r="K10" s="8" t="inlineStr">
        <is>
          <t>Eliminates separate RPi5 power adapter when PoE switch is present</t>
        </is>
      </c>
    </row>
    <row r="11" ht="48" customHeight="1">
      <c r="A11" s="3" t="n">
        <v>9</v>
      </c>
      <c r="B11" s="4" t="inlineStr">
        <is>
          <t>USB-C GaN Charger 65W</t>
        </is>
      </c>
      <c r="C11" s="4" t="inlineStr">
        <is>
          <t>Anker 735 or equiv.</t>
        </is>
      </c>
      <c r="D11" s="4" t="inlineStr">
        <is>
          <t>65W 3-port GaN charger; USB-C PD for Portenta X8 / H7 bench supply</t>
        </is>
      </c>
      <c r="E11" s="3" t="n">
        <v>1</v>
      </c>
      <c r="F11" s="5" t="n">
        <v>40</v>
      </c>
      <c r="G11" s="5">
        <f>E11*F11</f>
        <v/>
      </c>
      <c r="H11" s="4" t="inlineStr">
        <is>
          <t>Amazon</t>
        </is>
      </c>
      <c r="I11" s="6" t="inlineStr">
        <is>
          <t>amazon.com</t>
        </is>
      </c>
      <c r="J11" s="4" t="inlineStr">
        <is>
          <t>Next-day</t>
        </is>
      </c>
      <c r="K11" s="4" t="inlineStr">
        <is>
          <t>Bench / staging power for Portenta boards; field units use regulated DIN-rail supply</t>
        </is>
      </c>
    </row>
    <row r="12">
      <c r="A12" s="11" t="inlineStr"/>
      <c r="B12" s="11" t="inlineStr">
        <is>
          <t>SECTION TOTAL</t>
        </is>
      </c>
      <c r="C12" s="11" t="n"/>
      <c r="D12" s="11" t="n"/>
      <c r="E12" s="11" t="n"/>
      <c r="F12" s="11" t="n"/>
      <c r="G12" s="12">
        <f>SUM(G3:G11)</f>
        <v/>
      </c>
      <c r="H12" s="11" t="n"/>
      <c r="I12" s="11" t="n"/>
      <c r="J12" s="11" t="n"/>
      <c r="K12" s="11" t="n"/>
    </row>
  </sheetData>
  <mergeCells count="1">
    <mergeCell ref="A1:K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48" customWidth="1" min="4" max="4"/>
    <col width="6" customWidth="1" min="5" max="5"/>
    <col width="16" customWidth="1" min="6" max="6"/>
    <col width="18" customWidth="1" min="7" max="7"/>
    <col width="20" customWidth="1" min="8" max="8"/>
    <col width="30" customWidth="1" min="9" max="9"/>
    <col width="14" customWidth="1" min="10" max="10"/>
    <col width="42" customWidth="1" min="11" max="11"/>
  </cols>
  <sheetData>
    <row r="1" ht="28" customHeight="1">
      <c r="A1" s="1" t="inlineStr">
        <is>
          <t>LoRa &amp; Gateway Hardware — RF Infrastructure &amp; Antenna</t>
        </is>
      </c>
    </row>
    <row r="2" ht="32" customHeight="1">
      <c r="A2" s="2" t="inlineStr">
        <is>
          <t>Line #</t>
        </is>
      </c>
      <c r="B2" s="2" t="inlineStr">
        <is>
          <t>Part Name</t>
        </is>
      </c>
      <c r="C2" s="2" t="inlineStr">
        <is>
          <t>Part Number / SKU</t>
        </is>
      </c>
      <c r="D2" s="2" t="inlineStr">
        <is>
          <t>Description</t>
        </is>
      </c>
      <c r="E2" s="2" t="inlineStr">
        <is>
          <t>Qty</t>
        </is>
      </c>
      <c r="F2" s="2" t="inlineStr">
        <is>
          <t>Unit Price (USD)</t>
        </is>
      </c>
      <c r="G2" s="2" t="inlineStr">
        <is>
          <t>Extended Price (USD)</t>
        </is>
      </c>
      <c r="H2" s="2" t="inlineStr">
        <is>
          <t>Supplier</t>
        </is>
      </c>
      <c r="I2" s="2" t="inlineStr">
        <is>
          <t>Supplier URL</t>
        </is>
      </c>
      <c r="J2" s="2" t="inlineStr">
        <is>
          <t>Lead Time</t>
        </is>
      </c>
      <c r="K2" s="2" t="inlineStr">
        <is>
          <t>Notes</t>
        </is>
      </c>
    </row>
    <row r="3" ht="48" customHeight="1">
      <c r="A3" s="3" t="n">
        <v>1</v>
      </c>
      <c r="B3" s="4" t="inlineStr">
        <is>
          <t>RAKwireless WisGate Edge Pro (Outdoor)</t>
        </is>
      </c>
      <c r="C3" s="4" t="inlineStr">
        <is>
          <t>RAK7289V2</t>
        </is>
      </c>
      <c r="D3" s="4" t="inlineStr">
        <is>
          <t>8-ch outdoor LoRaWAN gateway, Semtech SX1303, IP67, Wi-Fi/Eth/LTE-optional, GPS, WisGateOS 2, PoE</t>
        </is>
      </c>
      <c r="E3" s="3" t="n">
        <v>1</v>
      </c>
      <c r="F3" s="5" t="n">
        <v>382</v>
      </c>
      <c r="G3" s="5">
        <f>E3*F3</f>
        <v/>
      </c>
      <c r="H3" s="4" t="inlineStr">
        <is>
          <t>RAKwireless Store</t>
        </is>
      </c>
      <c r="I3" s="6" t="inlineStr">
        <is>
          <t>store.rakwireless.com</t>
        </is>
      </c>
      <c r="J3" s="4" t="inlineStr">
        <is>
          <t>5–10 days</t>
        </is>
      </c>
      <c r="K3" s="4" t="inlineStr">
        <is>
          <t>Primary field gateway; antenna sold separately (see row 7)</t>
        </is>
      </c>
    </row>
    <row r="4" ht="48" customHeight="1">
      <c r="A4" s="7" t="n">
        <v>2</v>
      </c>
      <c r="B4" s="8" t="inlineStr">
        <is>
          <t>RAKwireless WisGate Edge Lite 2 (Indoor)</t>
        </is>
      </c>
      <c r="C4" s="8" t="inlineStr">
        <is>
          <t>RAK7268V2</t>
        </is>
      </c>
      <c r="D4" s="8" t="inlineStr">
        <is>
          <t>8-ch indoor LoRaWAN gateway, SX1303, Wi-Fi/Eth, PoE, WisGateOS 2, OpenVPN/WireGuard</t>
        </is>
      </c>
      <c r="E4" s="7" t="n">
        <v>1</v>
      </c>
      <c r="F4" s="9" t="n">
        <v>194</v>
      </c>
      <c r="G4" s="9">
        <f>E4*F4</f>
        <v/>
      </c>
      <c r="H4" s="8" t="inlineStr">
        <is>
          <t>RAKwireless Store / Rokland</t>
        </is>
      </c>
      <c r="I4" s="10" t="inlineStr">
        <is>
          <t>rokland.com</t>
        </is>
      </c>
      <c r="J4" s="8" t="inlineStr">
        <is>
          <t>In stock (US)</t>
        </is>
      </c>
      <c r="K4" s="8" t="inlineStr">
        <is>
          <t>Indoor lab / base station gateway; runs ChirpStack in built-in mode</t>
        </is>
      </c>
    </row>
    <row r="5" ht="48" customHeight="1">
      <c r="A5" s="3" t="n">
        <v>3</v>
      </c>
      <c r="B5" s="4" t="inlineStr">
        <is>
          <t>Dragino LPS8N Indoor Gateway</t>
        </is>
      </c>
      <c r="C5" s="4" t="inlineStr">
        <is>
          <t>LPS8N-915</t>
        </is>
      </c>
      <c r="D5" s="4" t="inlineStr">
        <is>
          <t>8-ch LoRaWAN indoor gateway, SX1302/SX1303, Eth + Wi-Fi, open-source OpenWRT firmware</t>
        </is>
      </c>
      <c r="E5" s="3" t="n">
        <v>1</v>
      </c>
      <c r="F5" s="5" t="n">
        <v>157</v>
      </c>
      <c r="G5" s="5">
        <f>E5*F5</f>
        <v/>
      </c>
      <c r="H5" s="4" t="inlineStr">
        <is>
          <t>Dragino Store</t>
        </is>
      </c>
      <c r="I5" s="6" t="inlineStr">
        <is>
          <t>dragino.com</t>
        </is>
      </c>
      <c r="J5" s="4" t="inlineStr">
        <is>
          <t>In stock</t>
        </is>
      </c>
      <c r="K5" s="4" t="inlineStr">
        <is>
          <t>Budget redundant/backup indoor gateway option</t>
        </is>
      </c>
    </row>
    <row r="6" ht="48" customHeight="1">
      <c r="A6" s="7" t="n">
        <v>4</v>
      </c>
      <c r="B6" s="8" t="inlineStr">
        <is>
          <t>Waveshare SX1262 LoRa HAT for RPi</t>
        </is>
      </c>
      <c r="C6" s="8" t="inlineStr">
        <is>
          <t>SX1262 LORAWAN HAT</t>
        </is>
      </c>
      <c r="D6" s="8" t="inlineStr">
        <is>
          <t>SX1262 868/915MHz HAT for Raspberry Pi, SPI interface, 22dBm TX, onboard antenna / SMA</t>
        </is>
      </c>
      <c r="E6" s="7" t="n">
        <v>1</v>
      </c>
      <c r="F6" s="9" t="n">
        <v>28</v>
      </c>
      <c r="G6" s="9">
        <f>E6*F6</f>
        <v/>
      </c>
      <c r="H6" s="8" t="inlineStr">
        <is>
          <t>Waveshare / Amazon</t>
        </is>
      </c>
      <c r="I6" s="10" t="inlineStr">
        <is>
          <t>waveshare.com</t>
        </is>
      </c>
      <c r="J6" s="8" t="inlineStr">
        <is>
          <t>5–10 days</t>
        </is>
      </c>
      <c r="K6" s="8" t="inlineStr">
        <is>
          <t>Attaches to RPi5 to act as a LoRa concentrator endpoint or range test node</t>
        </is>
      </c>
    </row>
    <row r="7" ht="48" customHeight="1">
      <c r="A7" s="3" t="n">
        <v>5</v>
      </c>
      <c r="B7" s="4" t="inlineStr">
        <is>
          <t>EBYTE E22-900M30S LoRa Module (SX1262)</t>
        </is>
      </c>
      <c r="C7" s="4" t="inlineStr">
        <is>
          <t>E22-900M30S</t>
        </is>
      </c>
      <c r="D7" s="4" t="inlineStr">
        <is>
          <t>SX1262-based 915MHz module, 30dBm (1W) TX power, SPI, -147dBm sensitivity, SMD</t>
        </is>
      </c>
      <c r="E7" s="3" t="n">
        <v>3</v>
      </c>
      <c r="F7" s="5" t="n">
        <v>12</v>
      </c>
      <c r="G7" s="5">
        <f>E7*F7</f>
        <v/>
      </c>
      <c r="H7" s="4" t="inlineStr">
        <is>
          <t>EBYTE / AliExpress</t>
        </is>
      </c>
      <c r="I7" s="6" t="inlineStr">
        <is>
          <t>ebyte.com</t>
        </is>
      </c>
      <c r="J7" s="4" t="inlineStr">
        <is>
          <t>7–14 days</t>
        </is>
      </c>
      <c r="K7" s="4" t="inlineStr">
        <is>
          <t>Node-side LoRa transceivers for Portenta X8 breakout or sensor nodes (qty 3)</t>
        </is>
      </c>
    </row>
    <row r="8" ht="48" customHeight="1">
      <c r="A8" s="7" t="n">
        <v>6</v>
      </c>
      <c r="B8" s="8" t="inlineStr">
        <is>
          <t>Seeed Studio Grove LoRa E5 Module</t>
        </is>
      </c>
      <c r="C8" s="8" t="inlineStr">
        <is>
          <t>113020091</t>
        </is>
      </c>
      <c r="D8" s="8" t="inlineStr">
        <is>
          <t>LoRa-E5 (STM32WLE5JC) 915MHz module; LoRaWAN Class A/B/C, AT command, 3.3V, ultra-compact</t>
        </is>
      </c>
      <c r="E8" s="7" t="n">
        <v>2</v>
      </c>
      <c r="F8" s="9" t="n">
        <v>18</v>
      </c>
      <c r="G8" s="9">
        <f>E8*F8</f>
        <v/>
      </c>
      <c r="H8" s="8" t="inlineStr">
        <is>
          <t>Seeed Studio</t>
        </is>
      </c>
      <c r="I8" s="10" t="inlineStr">
        <is>
          <t>seeedstudio.com</t>
        </is>
      </c>
      <c r="J8" s="8" t="inlineStr">
        <is>
          <t>5–7 days</t>
        </is>
      </c>
      <c r="K8" s="8" t="inlineStr">
        <is>
          <t>Compact MCU+LoRa combo for low-power remote sensor nodes (qty 2)</t>
        </is>
      </c>
    </row>
    <row r="9" ht="48" customHeight="1">
      <c r="A9" s="3" t="n">
        <v>7</v>
      </c>
      <c r="B9" s="4" t="inlineStr">
        <is>
          <t>915MHz 8dBi Fiberglass Omni Antenna</t>
        </is>
      </c>
      <c r="C9" s="4" t="inlineStr">
        <is>
          <t>Taoglas FW.81 or equiv.</t>
        </is>
      </c>
      <c r="D9" s="4" t="inlineStr">
        <is>
          <t>900–930MHz fiberglass omni, 8dBi gain, N-male, 1.2m, IP65, mast-mount</t>
        </is>
      </c>
      <c r="E9" s="3" t="n">
        <v>1</v>
      </c>
      <c r="F9" s="5" t="n">
        <v>55</v>
      </c>
      <c r="G9" s="5">
        <f>E9*F9</f>
        <v/>
      </c>
      <c r="H9" s="4" t="inlineStr">
        <is>
          <t>Rokland / Taoglas</t>
        </is>
      </c>
      <c r="I9" s="6" t="inlineStr">
        <is>
          <t>rokland.com</t>
        </is>
      </c>
      <c r="J9" s="4" t="inlineStr">
        <is>
          <t>3–7 days</t>
        </is>
      </c>
      <c r="K9" s="4" t="inlineStr">
        <is>
          <t>Primary gateway antenna; mount on mast above enclosure</t>
        </is>
      </c>
    </row>
    <row r="10" ht="48" customHeight="1">
      <c r="A10" s="7" t="n">
        <v>8</v>
      </c>
      <c r="B10" s="8" t="inlineStr">
        <is>
          <t>915MHz 5dBi Omni Antenna (short)</t>
        </is>
      </c>
      <c r="C10" s="8" t="inlineStr">
        <is>
          <t>Cloudpower / equiv.</t>
        </is>
      </c>
      <c r="D10" s="8" t="inlineStr">
        <is>
          <t>915MHz fiberglass omni, 5dBi, N-male, ~32cm, IP65, includes LMR-100 pigtail</t>
        </is>
      </c>
      <c r="E10" s="7" t="n">
        <v>2</v>
      </c>
      <c r="F10" s="9" t="n">
        <v>45</v>
      </c>
      <c r="G10" s="9">
        <f>E10*F10</f>
        <v/>
      </c>
      <c r="H10" s="8" t="inlineStr">
        <is>
          <t>Amazon</t>
        </is>
      </c>
      <c r="I10" s="10" t="inlineStr">
        <is>
          <t>amazon.com</t>
        </is>
      </c>
      <c r="J10" s="8" t="inlineStr">
        <is>
          <t>3–10 days</t>
        </is>
      </c>
      <c r="K10" s="8" t="inlineStr">
        <is>
          <t>Secondary / node antennas (qty 2); one per remote node or indoor gateway</t>
        </is>
      </c>
    </row>
    <row r="11" ht="48" customHeight="1">
      <c r="A11" s="3" t="n">
        <v>9</v>
      </c>
      <c r="B11" s="4" t="inlineStr">
        <is>
          <t>LMR-400 Coax Jumper 5m N-Male to N-Male</t>
        </is>
      </c>
      <c r="C11" s="4" t="inlineStr">
        <is>
          <t>Times Microwave / equiv.</t>
        </is>
      </c>
      <c r="D11" s="4" t="inlineStr">
        <is>
          <t>Low-loss coax, 0.5dB/10m @900MHz, weatherproofed N-male connectors, 5m</t>
        </is>
      </c>
      <c r="E11" s="3" t="n">
        <v>1</v>
      </c>
      <c r="F11" s="5" t="n">
        <v>32</v>
      </c>
      <c r="G11" s="5">
        <f>E11*F11</f>
        <v/>
      </c>
      <c r="H11" s="4" t="inlineStr">
        <is>
          <t>Rokland / Times Microwave</t>
        </is>
      </c>
      <c r="I11" s="6" t="inlineStr">
        <is>
          <t>timesmicrowave.com</t>
        </is>
      </c>
      <c r="J11" s="4" t="inlineStr">
        <is>
          <t>3–7 days</t>
        </is>
      </c>
      <c r="K11" s="4" t="inlineStr">
        <is>
          <t>Feed line from gateway enclosure to mast-mounted 8dBi antenna</t>
        </is>
      </c>
    </row>
    <row r="12">
      <c r="A12" s="11" t="inlineStr"/>
      <c r="B12" s="11" t="inlineStr">
        <is>
          <t>SECTION TOTAL</t>
        </is>
      </c>
      <c r="C12" s="11" t="n"/>
      <c r="D12" s="11" t="n"/>
      <c r="E12" s="11" t="n"/>
      <c r="F12" s="11" t="n"/>
      <c r="G12" s="12">
        <f>SUM(G3:G11)</f>
        <v/>
      </c>
      <c r="H12" s="11" t="n"/>
      <c r="I12" s="11" t="n"/>
      <c r="J12" s="11" t="n"/>
      <c r="K12" s="11" t="n"/>
    </row>
  </sheetData>
  <mergeCells count="1">
    <mergeCell ref="A1:K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48" customWidth="1" min="4" max="4"/>
    <col width="6" customWidth="1" min="5" max="5"/>
    <col width="16" customWidth="1" min="6" max="6"/>
    <col width="18" customWidth="1" min="7" max="7"/>
    <col width="20" customWidth="1" min="8" max="8"/>
    <col width="30" customWidth="1" min="9" max="9"/>
    <col width="14" customWidth="1" min="10" max="10"/>
    <col width="42" customWidth="1" min="11" max="11"/>
  </cols>
  <sheetData>
    <row r="1" ht="28" customHeight="1">
      <c r="A1" s="1" t="inlineStr">
        <is>
          <t>Power Distribution &amp; Off-Grid Energy</t>
        </is>
      </c>
    </row>
    <row r="2" ht="32" customHeight="1">
      <c r="A2" s="2" t="inlineStr">
        <is>
          <t>Line #</t>
        </is>
      </c>
      <c r="B2" s="2" t="inlineStr">
        <is>
          <t>Part Name</t>
        </is>
      </c>
      <c r="C2" s="2" t="inlineStr">
        <is>
          <t>Part Number / SKU</t>
        </is>
      </c>
      <c r="D2" s="2" t="inlineStr">
        <is>
          <t>Description</t>
        </is>
      </c>
      <c r="E2" s="2" t="inlineStr">
        <is>
          <t>Qty</t>
        </is>
      </c>
      <c r="F2" s="2" t="inlineStr">
        <is>
          <t>Unit Price (USD)</t>
        </is>
      </c>
      <c r="G2" s="2" t="inlineStr">
        <is>
          <t>Extended Price (USD)</t>
        </is>
      </c>
      <c r="H2" s="2" t="inlineStr">
        <is>
          <t>Supplier</t>
        </is>
      </c>
      <c r="I2" s="2" t="inlineStr">
        <is>
          <t>Supplier URL</t>
        </is>
      </c>
      <c r="J2" s="2" t="inlineStr">
        <is>
          <t>Lead Time</t>
        </is>
      </c>
      <c r="K2" s="2" t="inlineStr">
        <is>
          <t>Notes</t>
        </is>
      </c>
    </row>
    <row r="3" ht="48" customHeight="1">
      <c r="A3" s="3" t="n">
        <v>1</v>
      </c>
      <c r="B3" s="4" t="inlineStr">
        <is>
          <t>Mean Well XTR-480-12 DIN Rail PSU</t>
        </is>
      </c>
      <c r="C3" s="4" t="inlineStr">
        <is>
          <t>XTR-480-12</t>
        </is>
      </c>
      <c r="D3" s="4" t="inlineStr">
        <is>
          <t>3-phase 320–600VAC input, 12VDC/30A (360W) output, 95.5% efficient, -40°C to +85°C, IP20, fanless</t>
        </is>
      </c>
      <c r="E3" s="3" t="n">
        <v>1</v>
      </c>
      <c r="F3" s="5" t="n">
        <v>123.5</v>
      </c>
      <c r="G3" s="5">
        <f>E3*F3</f>
        <v/>
      </c>
      <c r="H3" s="4" t="inlineStr">
        <is>
          <t>Jameco / Mouser</t>
        </is>
      </c>
      <c r="I3" s="6" t="inlineStr">
        <is>
          <t>jameco.com</t>
        </is>
      </c>
      <c r="J3" s="4" t="inlineStr">
        <is>
          <t>In stock</t>
        </is>
      </c>
      <c r="K3" s="4" t="inlineStr">
        <is>
          <t>Primary DIN-rail power supply for 12V backbone rail</t>
        </is>
      </c>
    </row>
    <row r="4" ht="48" customHeight="1">
      <c r="A4" s="7" t="n">
        <v>2</v>
      </c>
      <c r="B4" s="8" t="inlineStr">
        <is>
          <t>Mean Well MDR-60-12 DIN Rail PSU</t>
        </is>
      </c>
      <c r="C4" s="8" t="inlineStr">
        <is>
          <t>MDR-60-12</t>
        </is>
      </c>
      <c r="D4" s="8" t="inlineStr">
        <is>
          <t>85–264VAC input, 12VDC/5A (60W), DIN rail, slim form factor, single-phase</t>
        </is>
      </c>
      <c r="E4" s="7" t="n">
        <v>1</v>
      </c>
      <c r="F4" s="9" t="n">
        <v>20.3</v>
      </c>
      <c r="G4" s="9">
        <f>E4*F4</f>
        <v/>
      </c>
      <c r="H4" s="8" t="inlineStr">
        <is>
          <t>Jameco / Mouser</t>
        </is>
      </c>
      <c r="I4" s="10" t="inlineStr">
        <is>
          <t>jameco.com</t>
        </is>
      </c>
      <c r="J4" s="8" t="inlineStr">
        <is>
          <t>In stock</t>
        </is>
      </c>
      <c r="K4" s="8" t="inlineStr">
        <is>
          <t>Secondary/redundant supply or remote node 12V feed</t>
        </is>
      </c>
    </row>
    <row r="5" ht="48" customHeight="1">
      <c r="A5" s="3" t="n">
        <v>3</v>
      </c>
      <c r="B5" s="4" t="inlineStr">
        <is>
          <t>Victron SmartSolar MPPT 75/15</t>
        </is>
      </c>
      <c r="C5" s="4" t="inlineStr">
        <is>
          <t>SCC075015060R</t>
        </is>
      </c>
      <c r="D5" s="4" t="inlineStr">
        <is>
          <t>75V PV input, 15A charge current, Li/AGM/LiFePO4, Bluetooth, VictronConnect app</t>
        </is>
      </c>
      <c r="E5" s="3" t="n">
        <v>1</v>
      </c>
      <c r="F5" s="5" t="n">
        <v>82</v>
      </c>
      <c r="G5" s="5">
        <f>E5*F5</f>
        <v/>
      </c>
      <c r="H5" s="4" t="inlineStr">
        <is>
          <t>Victron Distributors</t>
        </is>
      </c>
      <c r="I5" s="6" t="inlineStr">
        <is>
          <t>victronenergy.com</t>
        </is>
      </c>
      <c r="J5" s="4" t="inlineStr">
        <is>
          <t>5–7 days</t>
        </is>
      </c>
      <c r="K5" s="4" t="inlineStr">
        <is>
          <t>Solar charge controller for off-grid operation option</t>
        </is>
      </c>
    </row>
    <row r="6" ht="48" customHeight="1">
      <c r="A6" s="7" t="n">
        <v>4</v>
      </c>
      <c r="B6" s="8" t="inlineStr">
        <is>
          <t>100W Monocrystalline Solar Panel</t>
        </is>
      </c>
      <c r="C6" s="8" t="inlineStr">
        <is>
          <t>Renogy RNG-100D-SS</t>
        </is>
      </c>
      <c r="D6" s="8" t="inlineStr">
        <is>
          <t>100W, 18.9Voc, MC4 connectors, aluminum frame, 0°C to +85°C storage</t>
        </is>
      </c>
      <c r="E6" s="7" t="n">
        <v>1</v>
      </c>
      <c r="F6" s="9" t="n">
        <v>95</v>
      </c>
      <c r="G6" s="9">
        <f>E6*F6</f>
        <v/>
      </c>
      <c r="H6" s="8" t="inlineStr">
        <is>
          <t>Renogy / Amazon</t>
        </is>
      </c>
      <c r="I6" s="10" t="inlineStr">
        <is>
          <t>renogy.com</t>
        </is>
      </c>
      <c r="J6" s="8" t="inlineStr">
        <is>
          <t>5–10 days</t>
        </is>
      </c>
      <c r="K6" s="8" t="inlineStr">
        <is>
          <t>Optional off-grid solar input for remote sites</t>
        </is>
      </c>
    </row>
    <row r="7" ht="48" customHeight="1">
      <c r="A7" s="3" t="n">
        <v>5</v>
      </c>
      <c r="B7" s="4" t="inlineStr">
        <is>
          <t>Battle Born LiFePO4 Battery 100Ah 12V</t>
        </is>
      </c>
      <c r="C7" s="4" t="inlineStr">
        <is>
          <t>BB10012</t>
        </is>
      </c>
      <c r="D7" s="4" t="inlineStr">
        <is>
          <t>100Ah lithium iron phosphate, built-in BMS, -20°C to +60°C, cycle life &gt;3000</t>
        </is>
      </c>
      <c r="E7" s="3" t="n">
        <v>1</v>
      </c>
      <c r="F7" s="5" t="n">
        <v>949</v>
      </c>
      <c r="G7" s="5">
        <f>E7*F7</f>
        <v/>
      </c>
      <c r="H7" s="4" t="inlineStr">
        <is>
          <t>Battle Born Batteries</t>
        </is>
      </c>
      <c r="I7" s="6" t="inlineStr">
        <is>
          <t>battlebornbatteries.com</t>
        </is>
      </c>
      <c r="J7" s="4" t="inlineStr">
        <is>
          <t>3–7 days</t>
        </is>
      </c>
      <c r="K7" s="4" t="inlineStr">
        <is>
          <t>Optional off-grid energy storage; replaces 3x 35Ah AGM at same footprint</t>
        </is>
      </c>
    </row>
    <row r="8" ht="48" customHeight="1">
      <c r="A8" s="7" t="n">
        <v>6</v>
      </c>
      <c r="B8" s="8" t="inlineStr">
        <is>
          <t>802.3at PoE+ Injector 48V/30W</t>
        </is>
      </c>
      <c r="C8" s="8" t="inlineStr">
        <is>
          <t>TP-Link TL-POE160S</t>
        </is>
      </c>
      <c r="D8" s="8" t="inlineStr">
        <is>
          <t>Single-port 802.3at PoE+ injector; powers RPi5 HAT, indoor gateway, IP cameras</t>
        </is>
      </c>
      <c r="E8" s="7" t="n">
        <v>2</v>
      </c>
      <c r="F8" s="9" t="n">
        <v>18</v>
      </c>
      <c r="G8" s="9">
        <f>E8*F8</f>
        <v/>
      </c>
      <c r="H8" s="8" t="inlineStr">
        <is>
          <t>Amazon / TP-Link</t>
        </is>
      </c>
      <c r="I8" s="10" t="inlineStr">
        <is>
          <t>amazon.com</t>
        </is>
      </c>
      <c r="J8" s="8" t="inlineStr">
        <is>
          <t>Next-day</t>
        </is>
      </c>
      <c r="K8" s="8" t="inlineStr">
        <is>
          <t>Powers RPi5 PoE HAT and RAK7268 indoor gateway (qty 2)</t>
        </is>
      </c>
    </row>
    <row r="9" ht="48" customHeight="1">
      <c r="A9" s="3" t="n">
        <v>7</v>
      </c>
      <c r="B9" s="4" t="inlineStr">
        <is>
          <t>DC-DC Buck Converter 12V→5V 15A</t>
        </is>
      </c>
      <c r="C9" s="4" t="inlineStr">
        <is>
          <t>Drok / equiv.</t>
        </is>
      </c>
      <c r="D9" s="4" t="inlineStr">
        <is>
          <t>Synchronous buck, 9–36V in, 5V/15A out, 75W, screw terminals, potentiometer adj.</t>
        </is>
      </c>
      <c r="E9" s="3" t="n">
        <v>2</v>
      </c>
      <c r="F9" s="5" t="n">
        <v>13</v>
      </c>
      <c r="G9" s="5">
        <f>E9*F9</f>
        <v/>
      </c>
      <c r="H9" s="4" t="inlineStr">
        <is>
          <t>Amazon</t>
        </is>
      </c>
      <c r="I9" s="6" t="inlineStr">
        <is>
          <t>amazon.com</t>
        </is>
      </c>
      <c r="J9" s="4" t="inlineStr">
        <is>
          <t>Next-day</t>
        </is>
      </c>
      <c r="K9" s="4" t="inlineStr">
        <is>
          <t>Steps 12V rail down to 5V for USB-powered nodes and sensors (qty 2)</t>
        </is>
      </c>
    </row>
    <row r="10" ht="48" customHeight="1">
      <c r="A10" s="7" t="n">
        <v>8</v>
      </c>
      <c r="B10" s="8" t="inlineStr">
        <is>
          <t>Automotive Fuse Block 12-Way + Bus Bar</t>
        </is>
      </c>
      <c r="C10" s="8" t="inlineStr">
        <is>
          <t>Blue Sea 5026 or equiv.</t>
        </is>
      </c>
      <c r="D10" s="8" t="inlineStr">
        <is>
          <t>12-position ATC fuse block, common ground bus, 30A rated, marine/RV grade</t>
        </is>
      </c>
      <c r="E10" s="7" t="n">
        <v>1</v>
      </c>
      <c r="F10" s="9" t="n">
        <v>28</v>
      </c>
      <c r="G10" s="9">
        <f>E10*F10</f>
        <v/>
      </c>
      <c r="H10" s="8" t="inlineStr">
        <is>
          <t>Amazon / West Marine</t>
        </is>
      </c>
      <c r="I10" s="10" t="inlineStr">
        <is>
          <t>amazon.com</t>
        </is>
      </c>
      <c r="J10" s="8" t="inlineStr">
        <is>
          <t>Next-day</t>
        </is>
      </c>
      <c r="K10" s="8" t="inlineStr">
        <is>
          <t>Per-circuit protection and distribution on 12V backbone rail</t>
        </is>
      </c>
    </row>
    <row r="11">
      <c r="A11" s="11" t="inlineStr"/>
      <c r="B11" s="11" t="inlineStr">
        <is>
          <t>SECTION TOTAL</t>
        </is>
      </c>
      <c r="C11" s="11" t="n"/>
      <c r="D11" s="11" t="n"/>
      <c r="E11" s="11" t="n"/>
      <c r="F11" s="11" t="n"/>
      <c r="G11" s="12">
        <f>SUM(G3:G10)</f>
        <v/>
      </c>
      <c r="H11" s="11" t="n"/>
      <c r="I11" s="11" t="n"/>
      <c r="J11" s="11" t="n"/>
      <c r="K11" s="11" t="n"/>
    </row>
  </sheetData>
  <mergeCells count="1">
    <mergeCell ref="A1:K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48" customWidth="1" min="4" max="4"/>
    <col width="6" customWidth="1" min="5" max="5"/>
    <col width="16" customWidth="1" min="6" max="6"/>
    <col width="18" customWidth="1" min="7" max="7"/>
    <col width="20" customWidth="1" min="8" max="8"/>
    <col width="30" customWidth="1" min="9" max="9"/>
    <col width="14" customWidth="1" min="10" max="10"/>
    <col width="42" customWidth="1" min="11" max="11"/>
  </cols>
  <sheetData>
    <row r="1" ht="28" customHeight="1">
      <c r="A1" s="1" t="inlineStr">
        <is>
          <t>Networking &amp; Uplink — Backhaul &amp; Connectivity</t>
        </is>
      </c>
    </row>
    <row r="2" ht="32" customHeight="1">
      <c r="A2" s="2" t="inlineStr">
        <is>
          <t>Line #</t>
        </is>
      </c>
      <c r="B2" s="2" t="inlineStr">
        <is>
          <t>Part Name</t>
        </is>
      </c>
      <c r="C2" s="2" t="inlineStr">
        <is>
          <t>Part Number / SKU</t>
        </is>
      </c>
      <c r="D2" s="2" t="inlineStr">
        <is>
          <t>Description</t>
        </is>
      </c>
      <c r="E2" s="2" t="inlineStr">
        <is>
          <t>Qty</t>
        </is>
      </c>
      <c r="F2" s="2" t="inlineStr">
        <is>
          <t>Unit Price (USD)</t>
        </is>
      </c>
      <c r="G2" s="2" t="inlineStr">
        <is>
          <t>Extended Price (USD)</t>
        </is>
      </c>
      <c r="H2" s="2" t="inlineStr">
        <is>
          <t>Supplier</t>
        </is>
      </c>
      <c r="I2" s="2" t="inlineStr">
        <is>
          <t>Supplier URL</t>
        </is>
      </c>
      <c r="J2" s="2" t="inlineStr">
        <is>
          <t>Lead Time</t>
        </is>
      </c>
      <c r="K2" s="2" t="inlineStr">
        <is>
          <t>Notes</t>
        </is>
      </c>
    </row>
    <row r="3" ht="48" customHeight="1">
      <c r="A3" s="3" t="n">
        <v>1</v>
      </c>
      <c r="B3" s="4" t="inlineStr">
        <is>
          <t>Starlink Mini Dish</t>
        </is>
      </c>
      <c r="C3" s="4" t="inlineStr">
        <is>
          <t>Starlink Mini Kit</t>
        </is>
      </c>
      <c r="D3" s="4" t="inlineStr">
        <is>
          <t>Compact 12×10in phased array dish, 50–100Mbps down, &lt;100ms latency, Wi-Fi 6 integrated, 30W, portable</t>
        </is>
      </c>
      <c r="E3" s="3" t="n">
        <v>1</v>
      </c>
      <c r="F3" s="5" t="n">
        <v>299</v>
      </c>
      <c r="G3" s="5">
        <f>E3*F3</f>
        <v/>
      </c>
      <c r="H3" s="4" t="inlineStr">
        <is>
          <t>Starlink (SpaceX)</t>
        </is>
      </c>
      <c r="I3" s="6" t="inlineStr">
        <is>
          <t>starlink.com</t>
        </is>
      </c>
      <c r="J3" s="4" t="inlineStr">
        <is>
          <t>1–3 weeks</t>
        </is>
      </c>
      <c r="K3" s="4" t="inlineStr">
        <is>
          <t>Primary LEO satellite backhaul; service plan ~$50/mo (not included in BOM). Hardware price as of Oct 2025.</t>
        </is>
      </c>
    </row>
    <row r="4" ht="48" customHeight="1">
      <c r="A4" s="7" t="n">
        <v>2</v>
      </c>
      <c r="B4" s="8" t="inlineStr">
        <is>
          <t>Starlink Roam Service (Monthly)</t>
        </is>
      </c>
      <c r="C4" s="8" t="inlineStr">
        <is>
          <t>Service plan</t>
        </is>
      </c>
      <c r="D4" s="8" t="inlineStr">
        <is>
          <t>Mobile/Roam data plan; unlimited deprioritized data; paused when not in use; ~$50/mo</t>
        </is>
      </c>
      <c r="E4" s="7" t="n">
        <v>1</v>
      </c>
      <c r="F4" s="9" t="n">
        <v>50</v>
      </c>
      <c r="G4" s="9">
        <f>E4*F4</f>
        <v/>
      </c>
      <c r="H4" s="8" t="inlineStr">
        <is>
          <t>Starlink</t>
        </is>
      </c>
      <c r="I4" s="10" t="inlineStr">
        <is>
          <t>starlink.com</t>
        </is>
      </c>
      <c r="J4" s="8" t="inlineStr">
        <is>
          <t>Instant activation</t>
        </is>
      </c>
      <c r="K4" s="8" t="inlineStr">
        <is>
          <t>Monthly recurring — NOT included in one-time hardware subtotal.</t>
        </is>
      </c>
    </row>
    <row r="5" ht="48" customHeight="1">
      <c r="A5" s="3" t="n">
        <v>3</v>
      </c>
      <c r="B5" s="4" t="inlineStr">
        <is>
          <t>GL.iNet Beryl AX (GL-MT3000) Travel Router</t>
        </is>
      </c>
      <c r="C5" s="4" t="inlineStr">
        <is>
          <t>GL-MT3000</t>
        </is>
      </c>
      <c r="D5" s="4" t="inlineStr">
        <is>
          <t>Wi-Fi 6 tri-band travel router, WireGuard/OpenVPN built-in, 1Gbps Eth, USB 3.0, OpenWrt</t>
        </is>
      </c>
      <c r="E5" s="3" t="n">
        <v>1</v>
      </c>
      <c r="F5" s="5" t="n">
        <v>80</v>
      </c>
      <c r="G5" s="5">
        <f>E5*F5</f>
        <v/>
      </c>
      <c r="H5" s="4" t="inlineStr">
        <is>
          <t>GL.iNet / Amazon</t>
        </is>
      </c>
      <c r="I5" s="6" t="inlineStr">
        <is>
          <t>gl-inet.com</t>
        </is>
      </c>
      <c r="J5" s="4" t="inlineStr">
        <is>
          <t>Next-day</t>
        </is>
      </c>
      <c r="K5" s="4" t="inlineStr">
        <is>
          <t>WAN aggregator / VPN concentrator between Starlink and backbone LAN</t>
        </is>
      </c>
    </row>
    <row r="6" ht="48" customHeight="1">
      <c r="A6" s="7" t="n">
        <v>4</v>
      </c>
      <c r="B6" s="8" t="inlineStr">
        <is>
          <t>Teltonika RUT241 LTE Router</t>
        </is>
      </c>
      <c r="C6" s="8" t="inlineStr">
        <is>
          <t>RUT241</t>
        </is>
      </c>
      <c r="D6" s="8" t="inlineStr">
        <is>
          <t>Cat 4 LTE, dual SIM failover, 1x Eth WAN, Wi-Fi 4, -40°C to +75°C, DIN-mountable</t>
        </is>
      </c>
      <c r="E6" s="7" t="n">
        <v>1</v>
      </c>
      <c r="F6" s="9" t="n">
        <v>185</v>
      </c>
      <c r="G6" s="9">
        <f>E6*F6</f>
        <v/>
      </c>
      <c r="H6" s="8" t="inlineStr">
        <is>
          <t>Teltonika Networks</t>
        </is>
      </c>
      <c r="I6" s="10" t="inlineStr">
        <is>
          <t>teltonika-networks.com</t>
        </is>
      </c>
      <c r="J6" s="8" t="inlineStr">
        <is>
          <t>5–10 days</t>
        </is>
      </c>
      <c r="K6" s="8" t="inlineStr">
        <is>
          <t>LTE cellular failover uplink; auto-fails over from Starlink on outage</t>
        </is>
      </c>
    </row>
    <row r="7" ht="48" customHeight="1">
      <c r="A7" s="3" t="n">
        <v>5</v>
      </c>
      <c r="B7" s="4" t="inlineStr">
        <is>
          <t>Outdoor Cat6A Ethernet Cable 30m</t>
        </is>
      </c>
      <c r="C7" s="4" t="inlineStr">
        <is>
          <t>Ubiquiti TC-PRO-30M or equiv.</t>
        </is>
      </c>
      <c r="D7" s="4" t="inlineStr">
        <is>
          <t>Direct-burial shielded Cat6A, 30m, UV-resistant jacket, 10GbE rated</t>
        </is>
      </c>
      <c r="E7" s="3" t="n">
        <v>1</v>
      </c>
      <c r="F7" s="5" t="n">
        <v>30</v>
      </c>
      <c r="G7" s="5">
        <f>E7*F7</f>
        <v/>
      </c>
      <c r="H7" s="4" t="inlineStr">
        <is>
          <t>Ubiquiti / Amazon</t>
        </is>
      </c>
      <c r="I7" s="6" t="inlineStr">
        <is>
          <t>amazon.com</t>
        </is>
      </c>
      <c r="J7" s="4" t="inlineStr">
        <is>
          <t>Next-day</t>
        </is>
      </c>
      <c r="K7" s="4" t="inlineStr">
        <is>
          <t>Gateway-to-compute trunk between outdoor enclosure and indoor backbone</t>
        </is>
      </c>
    </row>
    <row r="8" ht="48" customHeight="1">
      <c r="A8" s="7" t="n">
        <v>6</v>
      </c>
      <c r="B8" s="8" t="inlineStr">
        <is>
          <t>Cisco Catalyst IE3100 Industrial Switch</t>
        </is>
      </c>
      <c r="C8" s="8" t="inlineStr">
        <is>
          <t>IE-3100-8T2C-E</t>
        </is>
      </c>
      <c r="D8" s="8" t="inlineStr">
        <is>
          <t>8-port 10/100/1000T + 2x SFP combo, DIN-rail, -40°C to +70°C, IP30, PoE budget 60W</t>
        </is>
      </c>
      <c r="E8" s="7" t="n">
        <v>1</v>
      </c>
      <c r="F8" s="9" t="n">
        <v>420</v>
      </c>
      <c r="G8" s="9">
        <f>E8*F8</f>
        <v/>
      </c>
      <c r="H8" s="8" t="inlineStr">
        <is>
          <t>Cisco / CDW</t>
        </is>
      </c>
      <c r="I8" s="10" t="inlineStr">
        <is>
          <t>cisco.com</t>
        </is>
      </c>
      <c r="J8" s="8" t="inlineStr">
        <is>
          <t>7–14 days</t>
        </is>
      </c>
      <c r="K8" s="8" t="inlineStr">
        <is>
          <t>Industrial managed switch at backbone hub; optional — substitute with Ubiquiti USW-Flex-Mini at $89 for cost-reduced builds</t>
        </is>
      </c>
    </row>
    <row r="9">
      <c r="A9" s="11" t="inlineStr"/>
      <c r="B9" s="11" t="inlineStr">
        <is>
          <t>SECTION TOTAL</t>
        </is>
      </c>
      <c r="C9" s="11" t="n"/>
      <c r="D9" s="11" t="n"/>
      <c r="E9" s="11" t="n"/>
      <c r="F9" s="11" t="n"/>
      <c r="G9" s="12">
        <f>SUM(G3:G8)</f>
        <v/>
      </c>
      <c r="H9" s="11" t="n"/>
      <c r="I9" s="11" t="n"/>
      <c r="J9" s="11" t="n"/>
      <c r="K9" s="11" t="n"/>
    </row>
  </sheetData>
  <mergeCells count="1">
    <mergeCell ref="A1:K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48" customWidth="1" min="4" max="4"/>
    <col width="6" customWidth="1" min="5" max="5"/>
    <col width="16" customWidth="1" min="6" max="6"/>
    <col width="18" customWidth="1" min="7" max="7"/>
    <col width="20" customWidth="1" min="8" max="8"/>
    <col width="30" customWidth="1" min="9" max="9"/>
    <col width="14" customWidth="1" min="10" max="10"/>
    <col width="42" customWidth="1" min="11" max="11"/>
  </cols>
  <sheetData>
    <row r="1" ht="28" customHeight="1">
      <c r="A1" s="1" t="inlineStr">
        <is>
          <t>Mechanical &amp; Environmental — Enclosures, Mounting &amp; Protection</t>
        </is>
      </c>
    </row>
    <row r="2" ht="32" customHeight="1">
      <c r="A2" s="2" t="inlineStr">
        <is>
          <t>Line #</t>
        </is>
      </c>
      <c r="B2" s="2" t="inlineStr">
        <is>
          <t>Part Name</t>
        </is>
      </c>
      <c r="C2" s="2" t="inlineStr">
        <is>
          <t>Part Number / SKU</t>
        </is>
      </c>
      <c r="D2" s="2" t="inlineStr">
        <is>
          <t>Description</t>
        </is>
      </c>
      <c r="E2" s="2" t="inlineStr">
        <is>
          <t>Qty</t>
        </is>
      </c>
      <c r="F2" s="2" t="inlineStr">
        <is>
          <t>Unit Price (USD)</t>
        </is>
      </c>
      <c r="G2" s="2" t="inlineStr">
        <is>
          <t>Extended Price (USD)</t>
        </is>
      </c>
      <c r="H2" s="2" t="inlineStr">
        <is>
          <t>Supplier</t>
        </is>
      </c>
      <c r="I2" s="2" t="inlineStr">
        <is>
          <t>Supplier URL</t>
        </is>
      </c>
      <c r="J2" s="2" t="inlineStr">
        <is>
          <t>Lead Time</t>
        </is>
      </c>
      <c r="K2" s="2" t="inlineStr">
        <is>
          <t>Notes</t>
        </is>
      </c>
    </row>
    <row r="3" ht="48" customHeight="1">
      <c r="A3" s="3" t="n">
        <v>1</v>
      </c>
      <c r="B3" s="4" t="inlineStr">
        <is>
          <t>Pelican 1550 Protector Case (IP67)</t>
        </is>
      </c>
      <c r="C3" s="4" t="inlineStr">
        <is>
          <t>1550-000-110</t>
        </is>
      </c>
      <c r="D3" s="4" t="inlineStr">
        <is>
          <t>20.66×17.2×8.4in exterior, IP67, MIL-SPEC, Pick-N-Pluck foam, stainless hardware, lifetime guarantee</t>
        </is>
      </c>
      <c r="E3" s="3" t="n">
        <v>1</v>
      </c>
      <c r="F3" s="5" t="n">
        <v>332.95</v>
      </c>
      <c r="G3" s="5">
        <f>E3*F3</f>
        <v/>
      </c>
      <c r="H3" s="4" t="inlineStr">
        <is>
          <t>Pelican / CDW</t>
        </is>
      </c>
      <c r="I3" s="6" t="inlineStr">
        <is>
          <t>pelican.com</t>
        </is>
      </c>
      <c r="J3" s="4" t="inlineStr">
        <is>
          <t>In stock</t>
        </is>
      </c>
      <c r="K3" s="4" t="inlineStr">
        <is>
          <t>Primary mobile deployment enclosure for full compute + gateway stack</t>
        </is>
      </c>
    </row>
    <row r="4" ht="48" customHeight="1">
      <c r="A4" s="7" t="n">
        <v>2</v>
      </c>
      <c r="B4" s="8" t="inlineStr">
        <is>
          <t>Pelican 1450 Protector Case (IP67)</t>
        </is>
      </c>
      <c r="C4" s="8" t="inlineStr">
        <is>
          <t>1450-000-110</t>
        </is>
      </c>
      <c r="D4" s="8" t="inlineStr">
        <is>
          <t>15.43×10.93×6.93in exterior, IP67, Pick-N-Pluck foam, lighter profile</t>
        </is>
      </c>
      <c r="E4" s="7" t="n">
        <v>1</v>
      </c>
      <c r="F4" s="9" t="n">
        <v>175</v>
      </c>
      <c r="G4" s="9">
        <f>E4*F4</f>
        <v/>
      </c>
      <c r="H4" s="8" t="inlineStr">
        <is>
          <t>Pelican</t>
        </is>
      </c>
      <c r="I4" s="10" t="inlineStr">
        <is>
          <t>pelican.com</t>
        </is>
      </c>
      <c r="J4" s="8" t="inlineStr">
        <is>
          <t>In stock</t>
        </is>
      </c>
      <c r="K4" s="8" t="inlineStr">
        <is>
          <t>Smaller field node enclosure for Portenta + LoRa module remote units</t>
        </is>
      </c>
    </row>
    <row r="5" ht="48" customHeight="1">
      <c r="A5" s="3" t="n">
        <v>3</v>
      </c>
      <c r="B5" s="4" t="inlineStr">
        <is>
          <t>Polycase WC-16-07 NEMA 4X Enclosure</t>
        </is>
      </c>
      <c r="C5" s="4" t="inlineStr">
        <is>
          <t>WC-16-07</t>
        </is>
      </c>
      <c r="D5" s="4" t="inlineStr">
        <is>
          <t>16×14×8in fiberglass NEMA 4X outdoor enclosure, UV-resistant, padlockable hasp, mounting plate</t>
        </is>
      </c>
      <c r="E5" s="3" t="n">
        <v>1</v>
      </c>
      <c r="F5" s="5" t="n">
        <v>95</v>
      </c>
      <c r="G5" s="5">
        <f>E5*F5</f>
        <v/>
      </c>
      <c r="H5" s="4" t="inlineStr">
        <is>
          <t>Polycase / Automation Direct</t>
        </is>
      </c>
      <c r="I5" s="6" t="inlineStr">
        <is>
          <t>polycase.com</t>
        </is>
      </c>
      <c r="J5" s="4" t="inlineStr">
        <is>
          <t>5–7 days</t>
        </is>
      </c>
      <c r="K5" s="4" t="inlineStr">
        <is>
          <t>Fixed outdoor wall-mount enclosure for gateway + DIN-rail power components</t>
        </is>
      </c>
    </row>
    <row r="6" ht="48" customHeight="1">
      <c r="A6" s="7" t="n">
        <v>4</v>
      </c>
      <c r="B6" s="8" t="inlineStr">
        <is>
          <t>DIN Rail TS-35 1m (pack of 2)</t>
        </is>
      </c>
      <c r="C6" s="8" t="inlineStr">
        <is>
          <t>Tripp Lite / Phoenix Contact</t>
        </is>
      </c>
      <c r="D6" s="8" t="inlineStr">
        <is>
          <t>Standard 35mm DIN rail, 1m length, zinc-plated steel, 2-pack</t>
        </is>
      </c>
      <c r="E6" s="7" t="n">
        <v>1</v>
      </c>
      <c r="F6" s="9" t="n">
        <v>16</v>
      </c>
      <c r="G6" s="9">
        <f>E6*F6</f>
        <v/>
      </c>
      <c r="H6" s="8" t="inlineStr">
        <is>
          <t>Amazon / Automation Direct</t>
        </is>
      </c>
      <c r="I6" s="10" t="inlineStr">
        <is>
          <t>automationdirect.com</t>
        </is>
      </c>
      <c r="J6" s="8" t="inlineStr">
        <is>
          <t>Next-day</t>
        </is>
      </c>
      <c r="K6" s="8" t="inlineStr">
        <is>
          <t>Mounts Mean Well PSU, fuse block, Teltonika router inside NEMA enclosure</t>
        </is>
      </c>
    </row>
    <row r="7" ht="48" customHeight="1">
      <c r="A7" s="3" t="n">
        <v>5</v>
      </c>
      <c r="B7" s="4" t="inlineStr">
        <is>
          <t>Antenna Mast / Pole 2m Push-Up</t>
        </is>
      </c>
      <c r="C7" s="4" t="inlineStr">
        <is>
          <t>Max-Gain Systems or equiv.</t>
        </is>
      </c>
      <c r="D7" s="4" t="inlineStr">
        <is>
          <t>2m threaded aluminum antenna mast, 1.25in OD, 10ft sections, guying kit included</t>
        </is>
      </c>
      <c r="E7" s="3" t="n">
        <v>1</v>
      </c>
      <c r="F7" s="5" t="n">
        <v>45</v>
      </c>
      <c r="G7" s="5">
        <f>E7*F7</f>
        <v/>
      </c>
      <c r="H7" s="4" t="inlineStr">
        <is>
          <t>Max-Gain Systems / Amazon</t>
        </is>
      </c>
      <c r="I7" s="6" t="inlineStr">
        <is>
          <t>amazon.com</t>
        </is>
      </c>
      <c r="J7" s="4" t="inlineStr">
        <is>
          <t>5–7 days</t>
        </is>
      </c>
      <c r="K7" s="4" t="inlineStr">
        <is>
          <t>Elevates 8dBi gateway antenna above enclosure roofline</t>
        </is>
      </c>
    </row>
    <row r="8" ht="48" customHeight="1">
      <c r="A8" s="7" t="n">
        <v>6</v>
      </c>
      <c r="B8" s="8" t="inlineStr">
        <is>
          <t>Cable Glands PG-16 IP68 (10-pack)</t>
        </is>
      </c>
      <c r="C8" s="8" t="inlineStr">
        <is>
          <t>Lapp Skintop / equiv.</t>
        </is>
      </c>
      <c r="D8" s="8" t="inlineStr">
        <is>
          <t>IP68 nylon cable glands, PG16, accepts 10–14mm OD cables, 10-pack</t>
        </is>
      </c>
      <c r="E8" s="7" t="n">
        <v>1</v>
      </c>
      <c r="F8" s="9" t="n">
        <v>14</v>
      </c>
      <c r="G8" s="9">
        <f>E8*F8</f>
        <v/>
      </c>
      <c r="H8" s="8" t="inlineStr">
        <is>
          <t>Amazon / Digi-Key</t>
        </is>
      </c>
      <c r="I8" s="10" t="inlineStr">
        <is>
          <t>digikey.com</t>
        </is>
      </c>
      <c r="J8" s="8" t="inlineStr">
        <is>
          <t>Next-day</t>
        </is>
      </c>
      <c r="K8" s="8" t="inlineStr">
        <is>
          <t>Weatherproof cable entry into NEMA / Pelican enclosures</t>
        </is>
      </c>
    </row>
    <row r="9" ht="48" customHeight="1">
      <c r="A9" s="3" t="n">
        <v>7</v>
      </c>
      <c r="B9" s="4" t="inlineStr">
        <is>
          <t>Silica Gel Desiccant Packs 5g (20-pack)</t>
        </is>
      </c>
      <c r="C9" s="4" t="inlineStr">
        <is>
          <t>Eva-Dry 20-pack</t>
        </is>
      </c>
      <c r="D9" s="4" t="inlineStr">
        <is>
          <t>Indicating silica gel desiccant, 5g each, orange-to-green color change indicator, 20-pack</t>
        </is>
      </c>
      <c r="E9" s="3" t="n">
        <v>1</v>
      </c>
      <c r="F9" s="5" t="n">
        <v>10</v>
      </c>
      <c r="G9" s="5">
        <f>E9*F9</f>
        <v/>
      </c>
      <c r="H9" s="4" t="inlineStr">
        <is>
          <t>Amazon</t>
        </is>
      </c>
      <c r="I9" s="6" t="inlineStr">
        <is>
          <t>amazon.com</t>
        </is>
      </c>
      <c r="J9" s="4" t="inlineStr">
        <is>
          <t>Next-day</t>
        </is>
      </c>
      <c r="K9" s="4" t="inlineStr">
        <is>
          <t>Moisture control inside sealed enclosures; replace annually or when indicator changes</t>
        </is>
      </c>
    </row>
    <row r="10" ht="48" customHeight="1">
      <c r="A10" s="7" t="n">
        <v>8</v>
      </c>
      <c r="B10" s="8" t="inlineStr">
        <is>
          <t>Anti-Vibration Rubber Isolators M4 (8-pack)</t>
        </is>
      </c>
      <c r="C10" s="8" t="inlineStr">
        <is>
          <t>Rocker / equiv.</t>
        </is>
      </c>
      <c r="D10" s="8" t="inlineStr">
        <is>
          <t>M4×20mm rubber anti-vibration standoffs, 8-pack, rated 5kg each</t>
        </is>
      </c>
      <c r="E10" s="7" t="n">
        <v>1</v>
      </c>
      <c r="F10" s="9" t="n">
        <v>12</v>
      </c>
      <c r="G10" s="9">
        <f>E10*F10</f>
        <v/>
      </c>
      <c r="H10" s="8" t="inlineStr">
        <is>
          <t>Amazon</t>
        </is>
      </c>
      <c r="I10" s="10" t="inlineStr">
        <is>
          <t>amazon.com</t>
        </is>
      </c>
      <c r="J10" s="8" t="inlineStr">
        <is>
          <t>Next-day</t>
        </is>
      </c>
      <c r="K10" s="8" t="inlineStr">
        <is>
          <t>Isolates SBCs from vibration when deployed in vehicles or on machinery</t>
        </is>
      </c>
    </row>
    <row r="11" ht="48" customHeight="1">
      <c r="A11" s="3" t="n">
        <v>9</v>
      </c>
      <c r="B11" s="4" t="inlineStr">
        <is>
          <t>Stainless M3/M4 Hardware Assortment Kit</t>
        </is>
      </c>
      <c r="C11" s="4" t="inlineStr">
        <is>
          <t>Metric Hex Bolt Kit</t>
        </is>
      </c>
      <c r="D11" s="4" t="inlineStr">
        <is>
          <t>400-piece M3/M4 SS hex bolts, nuts, washers, standoffs; fits most SBC PCB mounting</t>
        </is>
      </c>
      <c r="E11" s="3" t="n">
        <v>1</v>
      </c>
      <c r="F11" s="5" t="n">
        <v>18</v>
      </c>
      <c r="G11" s="5">
        <f>E11*F11</f>
        <v/>
      </c>
      <c r="H11" s="4" t="inlineStr">
        <is>
          <t>Amazon</t>
        </is>
      </c>
      <c r="I11" s="6" t="inlineStr">
        <is>
          <t>amazon.com</t>
        </is>
      </c>
      <c r="J11" s="4" t="inlineStr">
        <is>
          <t>Next-day</t>
        </is>
      </c>
      <c r="K11" s="4" t="inlineStr">
        <is>
          <t>General mechanical assembly fasteners</t>
        </is>
      </c>
    </row>
    <row r="12">
      <c r="A12" s="11" t="inlineStr"/>
      <c r="B12" s="11" t="inlineStr">
        <is>
          <t>SECTION TOTAL</t>
        </is>
      </c>
      <c r="C12" s="11" t="n"/>
      <c r="D12" s="11" t="n"/>
      <c r="E12" s="11" t="n"/>
      <c r="F12" s="11" t="n"/>
      <c r="G12" s="12">
        <f>SUM(G3:G11)</f>
        <v/>
      </c>
      <c r="H12" s="11" t="n"/>
      <c r="I12" s="11" t="n"/>
      <c r="J12" s="11" t="n"/>
      <c r="K12" s="11" t="n"/>
    </row>
  </sheetData>
  <mergeCells count="1">
    <mergeCell ref="A1:K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2026-05-15T13:33:05Z</dcterms:created>
  <dcterms:modified xmlns:dcterms="http://purl.org/dc/terms/" xmlns:xsi="http://www.w3.org/2001/XMLSchema-instance" xsi:type="dcterms:W3CDTF">2026-05-15T13:33:44Z</dcterms:modified>
</cp:coreProperties>
</file>