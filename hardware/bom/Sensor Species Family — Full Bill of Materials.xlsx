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3864"/>
      <sz val="9"/>
    </font>
    <font>
      <b val="1"/>
      <color rgb="00FFFFFF"/>
      <sz val="11"/>
    </font>
    <font>
      <b val="1"/>
      <color rgb="001F3864"/>
    </font>
    <font>
      <b val="1"/>
    </font>
    <font>
      <b val="1"/>
      <color rgb="00FFFFFF"/>
      <sz val="13"/>
    </font>
    <font>
      <b val="1"/>
      <color rgb="00FFFFFF"/>
      <sz val="18"/>
    </font>
    <font>
      <b val="1"/>
      <color rgb="00FFFFFF"/>
      <sz val="12"/>
    </font>
    <font>
      <b val="1"/>
      <color rgb="00FFFFFF"/>
    </font>
    <font>
      <sz val="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7"/>
        <bgColor rgb="00D6E4F7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BF3FB"/>
        <bgColor rgb="00EBF3FB"/>
      </patternFill>
    </fill>
    <fill>
      <patternFill patternType="solid">
        <fgColor rgb="00EEF4FB"/>
        <bgColor rgb="00EEF4FB"/>
      </patternFill>
    </fill>
    <fill>
      <patternFill patternType="solid">
        <fgColor rgb="00FFFDE7"/>
        <bgColor rgb="00FFFDE7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</border>
    <border>
      <left style="thick">
        <color rgb="00000000"/>
      </left>
      <right/>
      <top style="thick">
        <color rgb="00000000"/>
      </top>
      <bottom style="thick">
        <color rgb="00000000"/>
      </bottom>
    </border>
    <border>
      <left/>
      <right/>
      <top style="thick">
        <color rgb="00000000"/>
      </top>
      <bottom style="thick">
        <color rgb="00000000"/>
      </bottom>
    </border>
    <border>
      <left/>
      <right style="thick">
        <color rgb="00000000"/>
      </right>
      <top style="thick">
        <color rgb="00000000"/>
      </top>
      <bottom style="thick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0" fontId="3" fillId="4" borderId="0" applyAlignment="1" pivotButton="0" quotePrefix="0" xfId="0">
      <alignment horizontal="left"/>
    </xf>
    <xf numFmtId="0" fontId="4" fillId="5" borderId="1" applyAlignment="1" pivotButton="0" quotePrefix="0" xfId="0">
      <alignment horizontal="center" wrapText="1"/>
    </xf>
    <xf numFmtId="164" fontId="4" fillId="5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64" fontId="5" fillId="6" borderId="1" pivotButton="0" quotePrefix="0" xfId="0"/>
    <xf numFmtId="0" fontId="3" fillId="4" borderId="1" applyAlignment="1" pivotButton="0" quotePrefix="0" xfId="0">
      <alignment horizontal="left"/>
    </xf>
    <xf numFmtId="164" fontId="6" fillId="2" borderId="1" pivotButton="0" quotePrefix="0" xfId="0"/>
    <xf numFmtId="0" fontId="6" fillId="2" borderId="1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0" fillId="7" borderId="10" applyAlignment="1" pivotButton="0" quotePrefix="0" xfId="0">
      <alignment horizontal="left"/>
    </xf>
    <xf numFmtId="164" fontId="0" fillId="7" borderId="10" applyAlignment="1" pivotButton="0" quotePrefix="0" xfId="0">
      <alignment horizontal="right"/>
    </xf>
    <xf numFmtId="165" fontId="0" fillId="7" borderId="10" applyAlignment="1" pivotButton="0" quotePrefix="0" xfId="0">
      <alignment horizontal="right"/>
    </xf>
    <xf numFmtId="0" fontId="0" fillId="0" borderId="10" applyAlignment="1" pivotButton="0" quotePrefix="0" xfId="0">
      <alignment horizontal="left"/>
    </xf>
    <xf numFmtId="164" fontId="0" fillId="0" borderId="10" applyAlignment="1" pivotButton="0" quotePrefix="0" xfId="0">
      <alignment horizontal="right"/>
    </xf>
    <xf numFmtId="165" fontId="0" fillId="0" borderId="10" applyAlignment="1" pivotButton="0" quotePrefix="0" xfId="0">
      <alignment horizontal="right"/>
    </xf>
    <xf numFmtId="0" fontId="9" fillId="2" borderId="11" pivotButton="0" quotePrefix="0" xfId="0"/>
    <xf numFmtId="164" fontId="9" fillId="2" borderId="12" pivotButton="0" quotePrefix="0" xfId="0"/>
    <xf numFmtId="0" fontId="9" fillId="2" borderId="13" pivotButton="0" quotePrefix="0" xfId="0"/>
    <xf numFmtId="0" fontId="0" fillId="7" borderId="10" pivotButton="0" quotePrefix="0" xfId="0"/>
    <xf numFmtId="3" fontId="0" fillId="7" borderId="10" applyAlignment="1" pivotButton="0" quotePrefix="0" xfId="0">
      <alignment horizontal="center"/>
    </xf>
    <xf numFmtId="0" fontId="0" fillId="0" borderId="10" pivotButton="0" quotePrefix="0" xfId="0"/>
    <xf numFmtId="3" fontId="0" fillId="0" borderId="10" applyAlignment="1" pivotButton="0" quotePrefix="0" xfId="0">
      <alignment horizontal="center"/>
    </xf>
    <xf numFmtId="164" fontId="5" fillId="0" borderId="10" pivotButton="0" quotePrefix="0" xfId="0"/>
    <xf numFmtId="0" fontId="10" fillId="8" borderId="14" applyAlignment="1" pivotButton="0" quotePrefix="0" xfId="0">
      <alignment horizontal="left" wrapText="1"/>
    </xf>
    <xf numFmtId="0" fontId="0" fillId="0" borderId="14" pivotButton="0" quotePrefix="0" xfId="0"/>
    <xf numFmtId="0" fontId="10" fillId="9" borderId="14" applyAlignment="1" pivotButton="0" quotePrefix="0" xfId="0">
      <alignment horizontal="left" wrapText="1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Estimated Cost by Category (CAD)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'Summary Dashboard'!B5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'Summary Dashboard'!$A$6:$A$16</f>
            </numRef>
          </cat>
          <val>
            <numRef>
              <f>'Summary Dashboard'!$B$6:$B$16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CAD (est.)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 rot="-2700000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 ht="46" customHeight="1">
      <c r="A1" s="17" t="inlineStr">
        <is>
          <t>Sensor Species Family — BOM Summary Dashboard</t>
        </is>
      </c>
    </row>
    <row r="2">
      <c r="A2" s="2" t="inlineStr">
        <is>
          <t>Project: Sculptural / Kinetic Art &amp; Sensing Installation  |  Currency: CAD (estimated)  |  Location: Whitehorse, YT  |  Date: 2026-05-15</t>
        </is>
      </c>
    </row>
    <row r="3"/>
    <row r="4" ht="24" customHeight="1">
      <c r="A4" s="18" t="inlineStr">
        <is>
          <t>COST BREAKDOWN BY CATEGORY</t>
        </is>
      </c>
    </row>
    <row r="5">
      <c r="A5" s="19" t="inlineStr">
        <is>
          <t>Category</t>
        </is>
      </c>
      <c r="B5" s="19" t="inlineStr">
        <is>
          <t>Total Cost (CAD est.)</t>
        </is>
      </c>
      <c r="C5" s="19" t="inlineStr">
        <is>
          <t>% of Grand Total</t>
        </is>
      </c>
    </row>
    <row r="6">
      <c r="A6" s="20" t="inlineStr">
        <is>
          <t>3D Printed Parts (Materials)</t>
        </is>
      </c>
      <c r="B6" s="21">
        <f>BOM!J22</f>
        <v/>
      </c>
      <c r="C6" s="22">
        <f>IF(B17=0,"",B6/B17)</f>
        <v/>
      </c>
    </row>
    <row r="7">
      <c r="A7" s="23" t="inlineStr">
        <is>
          <t>Filaments</t>
        </is>
      </c>
      <c r="B7" s="24">
        <f>BOM!J32</f>
        <v/>
      </c>
      <c r="C7" s="25">
        <f>IF(B17=0,"",B7/B17)</f>
        <v/>
      </c>
    </row>
    <row r="8">
      <c r="A8" s="20" t="inlineStr">
        <is>
          <t>Printer Upgrades &amp; Fab Equipment</t>
        </is>
      </c>
      <c r="B8" s="21">
        <f>BOM!J45</f>
        <v/>
      </c>
      <c r="C8" s="22">
        <f>IF(B17=0,"",B8/B17)</f>
        <v/>
      </c>
    </row>
    <row r="9">
      <c r="A9" s="23" t="inlineStr">
        <is>
          <t>Mechanical Hardware</t>
        </is>
      </c>
      <c r="B9" s="24">
        <f>BOM!J64</f>
        <v/>
      </c>
      <c r="C9" s="25">
        <f>IF(B17=0,"",B9/B17)</f>
        <v/>
      </c>
    </row>
    <row r="10">
      <c r="A10" s="20" t="inlineStr">
        <is>
          <t>Wire, Cable &amp; Tendons</t>
        </is>
      </c>
      <c r="B10" s="21">
        <f>BOM!J76</f>
        <v/>
      </c>
      <c r="C10" s="22">
        <f>IF(B17=0,"",B10/B17)</f>
        <v/>
      </c>
    </row>
    <row r="11">
      <c r="A11" s="23" t="inlineStr">
        <is>
          <t>Electronics — Sensors</t>
        </is>
      </c>
      <c r="B11" s="24">
        <f>BOM!J87</f>
        <v/>
      </c>
      <c r="C11" s="25">
        <f>IF(B17=0,"",B11/B17)</f>
        <v/>
      </c>
    </row>
    <row r="12">
      <c r="A12" s="20" t="inlineStr">
        <is>
          <t>Electronics — Controllers &amp; Computing</t>
        </is>
      </c>
      <c r="B12" s="21">
        <f>BOM!J97</f>
        <v/>
      </c>
      <c r="C12" s="22">
        <f>IF(B17=0,"",B12/B17)</f>
        <v/>
      </c>
    </row>
    <row r="13">
      <c r="A13" s="23" t="inlineStr">
        <is>
          <t>Electronics — Power</t>
        </is>
      </c>
      <c r="B13" s="24">
        <f>BOM!J108</f>
        <v/>
      </c>
      <c r="C13" s="25">
        <f>IF(B17=0,"",B13/B17)</f>
        <v/>
      </c>
    </row>
    <row r="14">
      <c r="A14" s="20" t="inlineStr">
        <is>
          <t>Electronics — Lighting &amp; Effects</t>
        </is>
      </c>
      <c r="B14" s="21">
        <f>BOM!J116</f>
        <v/>
      </c>
      <c r="C14" s="22">
        <f>IF(B17=0,"",B14/B17)</f>
        <v/>
      </c>
    </row>
    <row r="15">
      <c r="A15" s="23" t="inlineStr">
        <is>
          <t>Connectors &amp; Wiring Accessories</t>
        </is>
      </c>
      <c r="B15" s="24">
        <f>BOM!J129</f>
        <v/>
      </c>
      <c r="C15" s="25">
        <f>IF(B17=0,"",B15/B17)</f>
        <v/>
      </c>
    </row>
    <row r="16">
      <c r="A16" s="20" t="inlineStr">
        <is>
          <t>Consumables &amp; Workshop Supplies</t>
        </is>
      </c>
      <c r="B16" s="21">
        <f>BOM!J151</f>
        <v/>
      </c>
      <c r="C16" s="22">
        <f>IF(B17=0,"",B16/B17)</f>
        <v/>
      </c>
    </row>
    <row r="17">
      <c r="A17" s="26" t="inlineStr">
        <is>
          <t>GRAND TOTAL — All Categories</t>
        </is>
      </c>
      <c r="B17" s="27">
        <f>SUM(B6:B16)</f>
        <v/>
      </c>
      <c r="C17" s="28" t="n"/>
    </row>
    <row r="18"/>
    <row r="19" ht="24" customHeight="1">
      <c r="A19" s="18" t="inlineStr">
        <is>
          <t>PROJECT STATS</t>
        </is>
      </c>
    </row>
    <row r="20">
      <c r="A20" s="19" t="inlineStr">
        <is>
          <t>Metric</t>
        </is>
      </c>
      <c r="B20" s="19" t="inlineStr">
        <is>
          <t>Value</t>
        </is>
      </c>
    </row>
    <row r="21">
      <c r="A21" s="29" t="inlineStr">
        <is>
          <t>Total Unique Line Items</t>
        </is>
      </c>
      <c r="B21" s="30" t="n">
        <v>106</v>
      </c>
    </row>
    <row r="22">
      <c r="A22" s="31" t="inlineStr">
        <is>
          <t>Critical Priority Items</t>
        </is>
      </c>
      <c r="B22" s="32" t="n">
        <v>57</v>
      </c>
    </row>
    <row r="23">
      <c r="A23" s="29" t="inlineStr">
        <is>
          <t>Recommended Priority Items</t>
        </is>
      </c>
      <c r="B23" s="30">
        <f>COUNTIF(BOM!L:L,"Recommended")</f>
        <v/>
      </c>
    </row>
    <row r="24">
      <c r="A24" s="31" t="inlineStr">
        <is>
          <t>Optional Priority Items</t>
        </is>
      </c>
      <c r="B24" s="32">
        <f>COUNTIF(BOM!L:L,"Optional")</f>
        <v/>
      </c>
    </row>
    <row r="25">
      <c r="A25" s="29" t="inlineStr">
        <is>
          <t>Items To Order</t>
        </is>
      </c>
      <c r="B25" s="30">
        <f>COUNTIF(BOM!M:M,"To Order")</f>
        <v/>
      </c>
    </row>
    <row r="26">
      <c r="A26" s="31" t="inlineStr">
        <is>
          <t>Items In Stock</t>
        </is>
      </c>
      <c r="B26" s="32">
        <f>COUNTIF(BOM!M:M,"In Stock")</f>
        <v/>
      </c>
    </row>
    <row r="27">
      <c r="A27" s="29" t="inlineStr">
        <is>
          <t>Items Ordered</t>
        </is>
      </c>
      <c r="B27" s="30">
        <f>COUNTIF(BOM!M:M,"Ordered")</f>
        <v/>
      </c>
    </row>
    <row r="28">
      <c r="A28" s="31" t="inlineStr">
        <is>
          <t>Estimated Grand Total (CAD)</t>
        </is>
      </c>
      <c r="B28" s="33">
        <f>B17</f>
        <v/>
      </c>
    </row>
    <row r="29"/>
    <row r="30" ht="24" customHeight="1">
      <c r="A30" s="18" t="inlineStr">
        <is>
          <t>PROJECT NOTES</t>
        </is>
      </c>
    </row>
    <row r="31" ht="22" customHeight="1">
      <c r="A31" s="34" t="inlineStr">
        <is>
          <t>• All costs are CAD estimates as of May 2026; prices may vary by supplier and availability in Whitehorse, YT.</t>
        </is>
      </c>
      <c r="B31" s="37" t="n"/>
      <c r="C31" s="37" t="n"/>
      <c r="D31" s="37" t="n"/>
      <c r="E31" s="37" t="n"/>
      <c r="F31" s="38" t="n"/>
    </row>
    <row r="32" ht="22" customHeight="1">
      <c r="A32" s="36" t="inlineStr">
        <is>
          <t>• 3D printing filament costs are estimated at material cost only (electricity + machine wear not included).</t>
        </is>
      </c>
      <c r="B32" s="37" t="n"/>
      <c r="C32" s="37" t="n"/>
      <c r="D32" s="37" t="n"/>
      <c r="E32" s="37" t="n"/>
      <c r="F32" s="38" t="n"/>
    </row>
    <row r="33" ht="22" customHeight="1">
      <c r="A33" s="34" t="inlineStr">
        <is>
          <t>• Priority: CRITICAL = project cannot proceed without; RECOMMENDED = strongly advised; OPTIONAL = nice-to-have.</t>
        </is>
      </c>
      <c r="B33" s="37" t="n"/>
      <c r="C33" s="37" t="n"/>
      <c r="D33" s="37" t="n"/>
      <c r="E33" s="37" t="n"/>
      <c r="F33" s="38" t="n"/>
    </row>
    <row r="34" ht="22" customHeight="1">
      <c r="A34" s="36" t="inlineStr">
        <is>
          <t>• Status: 'To Order' items should be sourced first. Consider bulk fastener orders from Bolt Depot or Fastenal.</t>
        </is>
      </c>
      <c r="B34" s="37" t="n"/>
      <c r="C34" s="37" t="n"/>
      <c r="D34" s="37" t="n"/>
      <c r="E34" s="37" t="n"/>
      <c r="F34" s="38" t="n"/>
    </row>
    <row r="35" ht="22" customHeight="1">
      <c r="A35" s="34" t="inlineStr">
        <is>
          <t>• Whitehorse sourcing: Electronics may require online ordering (Adafruit, Digikey). Budget extra for shipping to YT.</t>
        </is>
      </c>
      <c r="B35" s="37" t="n"/>
      <c r="C35" s="37" t="n"/>
      <c r="D35" s="37" t="n"/>
      <c r="E35" s="37" t="n"/>
      <c r="F35" s="38" t="n"/>
    </row>
    <row r="36" ht="22" customHeight="1">
      <c r="A36" s="36" t="inlineStr">
        <is>
          <t>• Cross-reference BOM Item # against your 3D print job queue and assembly notes for each morphology sub-system.</t>
        </is>
      </c>
      <c r="B36" s="37" t="n"/>
      <c r="C36" s="37" t="n"/>
      <c r="D36" s="37" t="n"/>
      <c r="E36" s="37" t="n"/>
      <c r="F36" s="38" t="n"/>
    </row>
    <row r="37" ht="22" customHeight="1">
      <c r="A37" s="34" t="inlineStr">
        <is>
          <t>• PETG-CF and ASA filaments require hardened nozzle + enclosure — ensure printer upgrades are received first.</t>
        </is>
      </c>
      <c r="B37" s="37" t="n"/>
      <c r="C37" s="37" t="n"/>
      <c r="D37" s="37" t="n"/>
      <c r="E37" s="37" t="n"/>
      <c r="F37" s="38" t="n"/>
    </row>
    <row r="38" ht="22" customHeight="1">
      <c r="A38" s="36" t="inlineStr">
        <is>
          <t>• Sensor node count: 6× Pico W + 4× QT Py RP2040 + 1× RPi 4B central hub. Verify I2C address conflicts before assembly.</t>
        </is>
      </c>
      <c r="B38" s="37" t="n"/>
      <c r="C38" s="37" t="n"/>
      <c r="D38" s="37" t="n"/>
      <c r="E38" s="37" t="n"/>
      <c r="F38" s="38" t="n"/>
    </row>
  </sheetData>
  <mergeCells count="13">
    <mergeCell ref="A38:F38"/>
    <mergeCell ref="A2:F2"/>
    <mergeCell ref="A33:F33"/>
    <mergeCell ref="A19:C19"/>
    <mergeCell ref="A36:F36"/>
    <mergeCell ref="A1:F1"/>
    <mergeCell ref="A37:F37"/>
    <mergeCell ref="A32:F32"/>
    <mergeCell ref="A31:F31"/>
    <mergeCell ref="A34:F34"/>
    <mergeCell ref="A35:F35"/>
    <mergeCell ref="A4:F4"/>
    <mergeCell ref="A30:F3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20" customWidth="1" min="4" max="4"/>
    <col width="22" customWidth="1" min="5" max="5"/>
    <col width="20" customWidth="1" min="6" max="6"/>
    <col width="7" customWidth="1" min="7" max="7"/>
    <col width="8" customWidth="1" min="8" max="8"/>
    <col width="16" customWidth="1" min="9" max="9"/>
    <col width="16" customWidth="1" min="10" max="10"/>
    <col width="22" customWidth="1" min="11" max="11"/>
    <col width="14" customWidth="1" min="12" max="12"/>
    <col width="14" customWidth="1" min="13" max="13"/>
  </cols>
  <sheetData>
    <row r="1" ht="36" customHeight="1">
      <c r="A1" s="1" t="inlineStr">
        <is>
          <t>Sensor Species Family — Full Bill of Materials</t>
        </is>
      </c>
    </row>
    <row r="2">
      <c r="A2" s="2" t="inlineStr">
        <is>
          <t>Project: Sculptural / Kinetic Art &amp; Sensing Installation  |  Currency: CAD (estimated)  |  Generated: 2026-05-15</t>
        </is>
      </c>
    </row>
    <row r="3" ht="22" customHeight="1">
      <c r="A3" s="4" t="inlineStr">
        <is>
          <t>SECTION 1 — MORPHOLOGY COMPONENTS: 3D PRINTED PARTS</t>
        </is>
      </c>
    </row>
    <row r="4" ht="30" customHeight="1">
      <c r="A4" s="5" t="inlineStr">
        <is>
          <t>Item #</t>
        </is>
      </c>
      <c r="B4" s="5" t="inlineStr">
        <is>
          <t>Component Name</t>
        </is>
      </c>
      <c r="C4" s="5" t="inlineStr">
        <is>
          <t>Description / Notes</t>
        </is>
      </c>
      <c r="D4" s="5" t="inlineStr">
        <is>
          <t>Category</t>
        </is>
      </c>
      <c r="E4" s="5" t="inlineStr">
        <is>
          <t>Morphology / Assembly</t>
        </is>
      </c>
      <c r="F4" s="5" t="inlineStr">
        <is>
          <t>Material or Spec</t>
        </is>
      </c>
      <c r="G4" s="5" t="inlineStr">
        <is>
          <t>Qty</t>
        </is>
      </c>
      <c r="H4" s="5" t="inlineStr">
        <is>
          <t>Unit</t>
        </is>
      </c>
      <c r="I4" s="6" t="inlineStr">
        <is>
          <t>Unit Cost (CAD est.)</t>
        </is>
      </c>
      <c r="J4" s="6" t="inlineStr">
        <is>
          <t>Total Cost (CAD)</t>
        </is>
      </c>
      <c r="K4" s="5" t="inlineStr">
        <is>
          <t>Supplier / Source</t>
        </is>
      </c>
      <c r="L4" s="5" t="inlineStr">
        <is>
          <t>Priority</t>
        </is>
      </c>
      <c r="M4" s="5" t="inlineStr">
        <is>
          <t>Status</t>
        </is>
      </c>
    </row>
    <row r="5" ht="18" customHeight="1">
      <c r="A5" s="7" t="n">
        <v>1</v>
      </c>
      <c r="B5" s="7" t="inlineStr">
        <is>
          <t>Pollen Pod Shell</t>
        </is>
      </c>
      <c r="C5" s="7" t="inlineStr">
        <is>
          <t>Main sensor housing capsule — ovoid shell, two-part clamshell</t>
        </is>
      </c>
      <c r="D5" s="7" t="inlineStr">
        <is>
          <t>3D Printed Parts</t>
        </is>
      </c>
      <c r="E5" s="7" t="inlineStr">
        <is>
          <t>Pollen Pod</t>
        </is>
      </c>
      <c r="F5" s="7" t="inlineStr">
        <is>
          <t>PETG or ABS, ~45g/pod</t>
        </is>
      </c>
      <c r="G5" s="7" t="n">
        <v>6</v>
      </c>
      <c r="H5" s="7" t="inlineStr">
        <is>
          <t>ea</t>
        </is>
      </c>
      <c r="I5" s="8" t="n">
        <v>3.5</v>
      </c>
      <c r="J5" s="8">
        <f>IF(G5="","",G5*I5)</f>
        <v/>
      </c>
      <c r="K5" s="7" t="inlineStr">
        <is>
          <t>3D Print in-house / Filament cost</t>
        </is>
      </c>
      <c r="L5" s="7" t="inlineStr">
        <is>
          <t>Critical</t>
        </is>
      </c>
      <c r="M5" s="7" t="inlineStr">
        <is>
          <t>To Order</t>
        </is>
      </c>
    </row>
    <row r="6" ht="18" customHeight="1">
      <c r="A6" s="7" t="n">
        <v>2</v>
      </c>
      <c r="B6" s="7" t="inlineStr">
        <is>
          <t>Pollen Pod Vent Ring</t>
        </is>
      </c>
      <c r="C6" s="7" t="inlineStr">
        <is>
          <t>Parametric lattice insert for airflow/venting</t>
        </is>
      </c>
      <c r="D6" s="7" t="inlineStr">
        <is>
          <t>3D Printed Parts</t>
        </is>
      </c>
      <c r="E6" s="7" t="inlineStr">
        <is>
          <t>Pollen Pod</t>
        </is>
      </c>
      <c r="F6" s="7" t="inlineStr">
        <is>
          <t>TPU 95A, ~8g each</t>
        </is>
      </c>
      <c r="G6" s="7" t="n">
        <v>6</v>
      </c>
      <c r="H6" s="7" t="inlineStr">
        <is>
          <t>ea</t>
        </is>
      </c>
      <c r="I6" s="8" t="n">
        <v>1.2</v>
      </c>
      <c r="J6" s="8">
        <f>IF(G6="","",G6*I6)</f>
        <v/>
      </c>
      <c r="K6" s="7" t="inlineStr">
        <is>
          <t>3D Print in-house / Filament cost</t>
        </is>
      </c>
      <c r="L6" s="7" t="inlineStr">
        <is>
          <t>Recommended</t>
        </is>
      </c>
      <c r="M6" s="7" t="inlineStr">
        <is>
          <t>To Order</t>
        </is>
      </c>
    </row>
    <row r="7" ht="18" customHeight="1">
      <c r="A7" s="7" t="n">
        <v>3</v>
      </c>
      <c r="B7" s="7" t="inlineStr">
        <is>
          <t>Pollen Pod Mounting Flange</t>
        </is>
      </c>
      <c r="C7" s="7" t="inlineStr">
        <is>
          <t>M3 heat-set insert collar for pod attachment</t>
        </is>
      </c>
      <c r="D7" s="7" t="inlineStr">
        <is>
          <t>3D Printed Parts</t>
        </is>
      </c>
      <c r="E7" s="7" t="inlineStr">
        <is>
          <t>Pollen Pod</t>
        </is>
      </c>
      <c r="F7" s="7" t="inlineStr">
        <is>
          <t>PETG, ~5g each</t>
        </is>
      </c>
      <c r="G7" s="7" t="n">
        <v>6</v>
      </c>
      <c r="H7" s="7" t="inlineStr">
        <is>
          <t>ea</t>
        </is>
      </c>
      <c r="I7" s="8" t="n">
        <v>0.8</v>
      </c>
      <c r="J7" s="8">
        <f>IF(G7="","",G7*I7)</f>
        <v/>
      </c>
      <c r="K7" s="7" t="inlineStr">
        <is>
          <t>3D Print in-house / Filament cost</t>
        </is>
      </c>
      <c r="L7" s="7" t="inlineStr">
        <is>
          <t>Critical</t>
        </is>
      </c>
      <c r="M7" s="7" t="inlineStr">
        <is>
          <t>To Order</t>
        </is>
      </c>
    </row>
    <row r="8" ht="18" customHeight="1">
      <c r="A8" s="7" t="n">
        <v>4</v>
      </c>
      <c r="B8" s="7" t="inlineStr">
        <is>
          <t>Garland Link Body</t>
        </is>
      </c>
      <c r="C8" s="7" t="inlineStr">
        <is>
          <t>Articulating chain link body, oval form with pivot bore</t>
        </is>
      </c>
      <c r="D8" s="7" t="inlineStr">
        <is>
          <t>3D Printed Parts</t>
        </is>
      </c>
      <c r="E8" s="7" t="inlineStr">
        <is>
          <t>Garland Links</t>
        </is>
      </c>
      <c r="F8" s="7" t="inlineStr">
        <is>
          <t>PETG, ~12g each</t>
        </is>
      </c>
      <c r="G8" s="7" t="n">
        <v>48</v>
      </c>
      <c r="H8" s="7" t="inlineStr">
        <is>
          <t>ea</t>
        </is>
      </c>
      <c r="I8" s="8" t="n">
        <v>0.9</v>
      </c>
      <c r="J8" s="8">
        <f>IF(G8="","",G8*I8)</f>
        <v/>
      </c>
      <c r="K8" s="7" t="inlineStr">
        <is>
          <t>3D Print in-house / Filament cost</t>
        </is>
      </c>
      <c r="L8" s="7" t="inlineStr">
        <is>
          <t>Critical</t>
        </is>
      </c>
      <c r="M8" s="7" t="inlineStr">
        <is>
          <t>To Order</t>
        </is>
      </c>
    </row>
    <row r="9" ht="18" customHeight="1">
      <c r="A9" s="7" t="n">
        <v>5</v>
      </c>
      <c r="B9" s="7" t="inlineStr">
        <is>
          <t>Garland End Cap</t>
        </is>
      </c>
      <c r="C9" s="7" t="inlineStr">
        <is>
          <t>Capped terminus link with cable pass-through</t>
        </is>
      </c>
      <c r="D9" s="7" t="inlineStr">
        <is>
          <t>3D Printed Parts</t>
        </is>
      </c>
      <c r="E9" s="7" t="inlineStr">
        <is>
          <t>Garland Links</t>
        </is>
      </c>
      <c r="F9" s="7" t="inlineStr">
        <is>
          <t>PETG, ~9g each</t>
        </is>
      </c>
      <c r="G9" s="7" t="n">
        <v>12</v>
      </c>
      <c r="H9" s="7" t="inlineStr">
        <is>
          <t>ea</t>
        </is>
      </c>
      <c r="I9" s="8" t="n">
        <v>0.8</v>
      </c>
      <c r="J9" s="8">
        <f>IF(G9="","",G9*I9)</f>
        <v/>
      </c>
      <c r="K9" s="7" t="inlineStr">
        <is>
          <t>3D Print in-house / Filament cost</t>
        </is>
      </c>
      <c r="L9" s="7" t="inlineStr">
        <is>
          <t>Critical</t>
        </is>
      </c>
      <c r="M9" s="7" t="inlineStr">
        <is>
          <t>To Order</t>
        </is>
      </c>
    </row>
    <row r="10" ht="18" customHeight="1">
      <c r="A10" s="7" t="n">
        <v>6</v>
      </c>
      <c r="B10" s="7" t="inlineStr">
        <is>
          <t>Garland Spacer Ring</t>
        </is>
      </c>
      <c r="C10" s="7" t="inlineStr">
        <is>
          <t>Inter-link spacing washer</t>
        </is>
      </c>
      <c r="D10" s="7" t="inlineStr">
        <is>
          <t>3D Printed Parts</t>
        </is>
      </c>
      <c r="E10" s="7" t="inlineStr">
        <is>
          <t>Garland Links</t>
        </is>
      </c>
      <c r="F10" s="7" t="inlineStr">
        <is>
          <t>TPU 85A, ~2g each</t>
        </is>
      </c>
      <c r="G10" s="7" t="n">
        <v>48</v>
      </c>
      <c r="H10" s="7" t="inlineStr">
        <is>
          <t>ea</t>
        </is>
      </c>
      <c r="I10" s="8" t="n">
        <v>0.3</v>
      </c>
      <c r="J10" s="8">
        <f>IF(G10="","",G10*I10)</f>
        <v/>
      </c>
      <c r="K10" s="7" t="inlineStr">
        <is>
          <t>3D Print in-house / Filament cost</t>
        </is>
      </c>
      <c r="L10" s="7" t="inlineStr">
        <is>
          <t>Recommended</t>
        </is>
      </c>
      <c r="M10" s="7" t="inlineStr">
        <is>
          <t>To Order</t>
        </is>
      </c>
    </row>
    <row r="11" ht="18" customHeight="1">
      <c r="A11" s="7" t="n">
        <v>7</v>
      </c>
      <c r="B11" s="7" t="inlineStr">
        <is>
          <t>Tendon Routing Cleat</t>
        </is>
      </c>
      <c r="C11" s="7" t="inlineStr">
        <is>
          <t>Cable anchor with groove for tendon management</t>
        </is>
      </c>
      <c r="D11" s="7" t="inlineStr">
        <is>
          <t>3D Printed Parts</t>
        </is>
      </c>
      <c r="E11" s="7" t="inlineStr">
        <is>
          <t>Tendons</t>
        </is>
      </c>
      <c r="F11" s="7" t="inlineStr">
        <is>
          <t>PETG, ~6g each</t>
        </is>
      </c>
      <c r="G11" s="7" t="n">
        <v>24</v>
      </c>
      <c r="H11" s="7" t="inlineStr">
        <is>
          <t>ea</t>
        </is>
      </c>
      <c r="I11" s="8" t="n">
        <v>0.7</v>
      </c>
      <c r="J11" s="8">
        <f>IF(G11="","",G11*I11)</f>
        <v/>
      </c>
      <c r="K11" s="7" t="inlineStr">
        <is>
          <t>3D Print in-house / Filament cost</t>
        </is>
      </c>
      <c r="L11" s="7" t="inlineStr">
        <is>
          <t>Critical</t>
        </is>
      </c>
      <c r="M11" s="7" t="inlineStr">
        <is>
          <t>To Order</t>
        </is>
      </c>
    </row>
    <row r="12" ht="18" customHeight="1">
      <c r="A12" s="7" t="n">
        <v>8</v>
      </c>
      <c r="B12" s="7" t="inlineStr">
        <is>
          <t>Tendon Tensioner Body</t>
        </is>
      </c>
      <c r="C12" s="7" t="inlineStr">
        <is>
          <t>Spring-loaded adjuster housing for tendon tension</t>
        </is>
      </c>
      <c r="D12" s="7" t="inlineStr">
        <is>
          <t>3D Printed Parts</t>
        </is>
      </c>
      <c r="E12" s="7" t="inlineStr">
        <is>
          <t>Tendons</t>
        </is>
      </c>
      <c r="F12" s="7" t="inlineStr">
        <is>
          <t>PETG, ~18g each</t>
        </is>
      </c>
      <c r="G12" s="7" t="n">
        <v>12</v>
      </c>
      <c r="H12" s="7" t="inlineStr">
        <is>
          <t>ea</t>
        </is>
      </c>
      <c r="I12" s="8" t="n">
        <v>1.6</v>
      </c>
      <c r="J12" s="8">
        <f>IF(G12="","",G12*I12)</f>
        <v/>
      </c>
      <c r="K12" s="7" t="inlineStr">
        <is>
          <t>3D Print in-house / Filament cost</t>
        </is>
      </c>
      <c r="L12" s="7" t="inlineStr">
        <is>
          <t>Critical</t>
        </is>
      </c>
      <c r="M12" s="7" t="inlineStr">
        <is>
          <t>To Order</t>
        </is>
      </c>
    </row>
    <row r="13" ht="18" customHeight="1">
      <c r="A13" s="7" t="n">
        <v>9</v>
      </c>
      <c r="B13" s="7" t="inlineStr">
        <is>
          <t>Tendon Pulley Wheel</t>
        </is>
      </c>
      <c r="C13" s="7" t="inlineStr">
        <is>
          <t>Small flanged wheel, 8mm bore, for tendon routing</t>
        </is>
      </c>
      <c r="D13" s="7" t="inlineStr">
        <is>
          <t>3D Printed Parts</t>
        </is>
      </c>
      <c r="E13" s="7" t="inlineStr">
        <is>
          <t>Tendons</t>
        </is>
      </c>
      <c r="F13" s="7" t="inlineStr">
        <is>
          <t>PETG or PLA, ~7g each</t>
        </is>
      </c>
      <c r="G13" s="7" t="n">
        <v>24</v>
      </c>
      <c r="H13" s="7" t="inlineStr">
        <is>
          <t>ea</t>
        </is>
      </c>
      <c r="I13" s="8" t="n">
        <v>0.7</v>
      </c>
      <c r="J13" s="8">
        <f>IF(G13="","",G13*I13)</f>
        <v/>
      </c>
      <c r="K13" s="7" t="inlineStr">
        <is>
          <t>3D Print in-house / Filament cost</t>
        </is>
      </c>
      <c r="L13" s="7" t="inlineStr">
        <is>
          <t>Critical</t>
        </is>
      </c>
      <c r="M13" s="7" t="inlineStr">
        <is>
          <t>To Order</t>
        </is>
      </c>
    </row>
    <row r="14" ht="18" customHeight="1">
      <c r="A14" s="7" t="n">
        <v>10</v>
      </c>
      <c r="B14" s="7" t="inlineStr">
        <is>
          <t>Perch Pod Main Body</t>
        </is>
      </c>
      <c r="C14" s="7" t="inlineStr">
        <is>
          <t>Sensor nest / mounting platform</t>
        </is>
      </c>
      <c r="D14" s="7" t="inlineStr">
        <is>
          <t>3D Printed Parts</t>
        </is>
      </c>
      <c r="E14" s="7" t="inlineStr">
        <is>
          <t>Perch Pods</t>
        </is>
      </c>
      <c r="F14" s="7" t="inlineStr">
        <is>
          <t>PETG, ~60g each</t>
        </is>
      </c>
      <c r="G14" s="7" t="n">
        <v>4</v>
      </c>
      <c r="H14" s="7" t="inlineStr">
        <is>
          <t>ea</t>
        </is>
      </c>
      <c r="I14" s="8" t="n">
        <v>4.5</v>
      </c>
      <c r="J14" s="8">
        <f>IF(G14="","",G14*I14)</f>
        <v/>
      </c>
      <c r="K14" s="7" t="inlineStr">
        <is>
          <t>3D Print in-house / Filament cost</t>
        </is>
      </c>
      <c r="L14" s="7" t="inlineStr">
        <is>
          <t>Critical</t>
        </is>
      </c>
      <c r="M14" s="7" t="inlineStr">
        <is>
          <t>To Order</t>
        </is>
      </c>
    </row>
    <row r="15" ht="18" customHeight="1">
      <c r="A15" s="7" t="n">
        <v>11</v>
      </c>
      <c r="B15" s="7" t="inlineStr">
        <is>
          <t>Perch Pod Canopy</t>
        </is>
      </c>
      <c r="C15" s="7" t="inlineStr">
        <is>
          <t>Dome cover with diffuser aperture</t>
        </is>
      </c>
      <c r="D15" s="7" t="inlineStr">
        <is>
          <t>3D Printed Parts</t>
        </is>
      </c>
      <c r="E15" s="7" t="inlineStr">
        <is>
          <t>Perch Pods</t>
        </is>
      </c>
      <c r="F15" s="7" t="inlineStr">
        <is>
          <t>Clear PETG or PETG-CF, ~22g</t>
        </is>
      </c>
      <c r="G15" s="7" t="n">
        <v>4</v>
      </c>
      <c r="H15" s="7" t="inlineStr">
        <is>
          <t>ea</t>
        </is>
      </c>
      <c r="I15" s="8" t="n">
        <v>2.2</v>
      </c>
      <c r="J15" s="8">
        <f>IF(G15="","",G15*I15)</f>
        <v/>
      </c>
      <c r="K15" s="7" t="inlineStr">
        <is>
          <t>3D Print in-house / Filament cost</t>
        </is>
      </c>
      <c r="L15" s="7" t="inlineStr">
        <is>
          <t>Critical</t>
        </is>
      </c>
      <c r="M15" s="7" t="inlineStr">
        <is>
          <t>To Order</t>
        </is>
      </c>
    </row>
    <row r="16" ht="18" customHeight="1">
      <c r="A16" s="7" t="n">
        <v>12</v>
      </c>
      <c r="B16" s="7" t="inlineStr">
        <is>
          <t>Perch Pod Base Bracket</t>
        </is>
      </c>
      <c r="C16" s="7" t="inlineStr">
        <is>
          <t>Wall/rod mounting interface bracket</t>
        </is>
      </c>
      <c r="D16" s="7" t="inlineStr">
        <is>
          <t>3D Printed Parts</t>
        </is>
      </c>
      <c r="E16" s="7" t="inlineStr">
        <is>
          <t>Perch Pods</t>
        </is>
      </c>
      <c r="F16" s="7" t="inlineStr">
        <is>
          <t>PETG, ~15g each</t>
        </is>
      </c>
      <c r="G16" s="7" t="n">
        <v>4</v>
      </c>
      <c r="H16" s="7" t="inlineStr">
        <is>
          <t>ea</t>
        </is>
      </c>
      <c r="I16" s="8" t="n">
        <v>1.4</v>
      </c>
      <c r="J16" s="8">
        <f>IF(G16="","",G16*I16)</f>
        <v/>
      </c>
      <c r="K16" s="7" t="inlineStr">
        <is>
          <t>3D Print in-house / Filament cost</t>
        </is>
      </c>
      <c r="L16" s="7" t="inlineStr">
        <is>
          <t>Critical</t>
        </is>
      </c>
      <c r="M16" s="7" t="inlineStr">
        <is>
          <t>To Order</t>
        </is>
      </c>
    </row>
    <row r="17" ht="18" customHeight="1">
      <c r="A17" s="7" t="n">
        <v>13</v>
      </c>
      <c r="B17" s="7" t="inlineStr">
        <is>
          <t>Reef Plate Panel</t>
        </is>
      </c>
      <c r="C17" s="7" t="inlineStr">
        <is>
          <t>Textured mounting backplane, 200x150mm</t>
        </is>
      </c>
      <c r="D17" s="7" t="inlineStr">
        <is>
          <t>3D Printed Parts</t>
        </is>
      </c>
      <c r="E17" s="7" t="inlineStr">
        <is>
          <t>Reef Plates</t>
        </is>
      </c>
      <c r="F17" s="7" t="inlineStr">
        <is>
          <t>PETG or ASA, ~85g each</t>
        </is>
      </c>
      <c r="G17" s="7" t="n">
        <v>6</v>
      </c>
      <c r="H17" s="7" t="inlineStr">
        <is>
          <t>ea</t>
        </is>
      </c>
      <c r="I17" s="8" t="n">
        <v>6.5</v>
      </c>
      <c r="J17" s="8">
        <f>IF(G17="","",G17*I17)</f>
        <v/>
      </c>
      <c r="K17" s="7" t="inlineStr">
        <is>
          <t>3D Print in-house / Filament cost</t>
        </is>
      </c>
      <c r="L17" s="7" t="inlineStr">
        <is>
          <t>Critical</t>
        </is>
      </c>
      <c r="M17" s="7" t="inlineStr">
        <is>
          <t>To Order</t>
        </is>
      </c>
    </row>
    <row r="18" ht="18" customHeight="1">
      <c r="A18" s="7" t="n">
        <v>14</v>
      </c>
      <c r="B18" s="7" t="inlineStr">
        <is>
          <t>Reef Plate Edge Trim</t>
        </is>
      </c>
      <c r="C18" s="7" t="inlineStr">
        <is>
          <t>Snap-fit border strip per plate</t>
        </is>
      </c>
      <c r="D18" s="7" t="inlineStr">
        <is>
          <t>3D Printed Parts</t>
        </is>
      </c>
      <c r="E18" s="7" t="inlineStr">
        <is>
          <t>Reef Plates</t>
        </is>
      </c>
      <c r="F18" s="7" t="inlineStr">
        <is>
          <t>TPU 95A, ~20g/set</t>
        </is>
      </c>
      <c r="G18" s="7" t="n">
        <v>6</v>
      </c>
      <c r="H18" s="7" t="inlineStr">
        <is>
          <t>set</t>
        </is>
      </c>
      <c r="I18" s="8" t="n">
        <v>2</v>
      </c>
      <c r="J18" s="8">
        <f>IF(G18="","",G18*I18)</f>
        <v/>
      </c>
      <c r="K18" s="7" t="inlineStr">
        <is>
          <t>3D Print in-house / Filament cost</t>
        </is>
      </c>
      <c r="L18" s="7" t="inlineStr">
        <is>
          <t>Recommended</t>
        </is>
      </c>
      <c r="M18" s="7" t="inlineStr">
        <is>
          <t>To Order</t>
        </is>
      </c>
    </row>
    <row r="19" ht="18" customHeight="1">
      <c r="A19" s="7" t="n">
        <v>15</v>
      </c>
      <c r="B19" s="7" t="inlineStr">
        <is>
          <t>Reef Plate Standoff</t>
        </is>
      </c>
      <c r="C19" s="7" t="inlineStr">
        <is>
          <t>Adjustable depth spacer post</t>
        </is>
      </c>
      <c r="D19" s="7" t="inlineStr">
        <is>
          <t>3D Printed Parts</t>
        </is>
      </c>
      <c r="E19" s="7" t="inlineStr">
        <is>
          <t>Reef Plates</t>
        </is>
      </c>
      <c r="F19" s="7" t="inlineStr">
        <is>
          <t>PETG, ~8g each</t>
        </is>
      </c>
      <c r="G19" s="7" t="n">
        <v>24</v>
      </c>
      <c r="H19" s="7" t="inlineStr">
        <is>
          <t>ea</t>
        </is>
      </c>
      <c r="I19" s="8" t="n">
        <v>0.6</v>
      </c>
      <c r="J19" s="8">
        <f>IF(G19="","",G19*I19)</f>
        <v/>
      </c>
      <c r="K19" s="7" t="inlineStr">
        <is>
          <t>3D Print in-house / Filament cost</t>
        </is>
      </c>
      <c r="L19" s="7" t="inlineStr">
        <is>
          <t>Recommended</t>
        </is>
      </c>
      <c r="M19" s="7" t="inlineStr">
        <is>
          <t>To Order</t>
        </is>
      </c>
    </row>
    <row r="20" ht="18" customHeight="1">
      <c r="A20" s="7" t="n">
        <v>16</v>
      </c>
      <c r="B20" s="7" t="inlineStr">
        <is>
          <t>Bloom Node</t>
        </is>
      </c>
      <c r="C20" s="7" t="inlineStr">
        <is>
          <t>Star-burst junction hub for garland branching</t>
        </is>
      </c>
      <c r="D20" s="7" t="inlineStr">
        <is>
          <t>3D Printed Parts</t>
        </is>
      </c>
      <c r="E20" s="7" t="inlineStr">
        <is>
          <t>Garland Extras</t>
        </is>
      </c>
      <c r="F20" s="7" t="inlineStr">
        <is>
          <t>PETG, ~25g each</t>
        </is>
      </c>
      <c r="G20" s="7" t="n">
        <v>8</v>
      </c>
      <c r="H20" s="7" t="inlineStr">
        <is>
          <t>ea</t>
        </is>
      </c>
      <c r="I20" s="8" t="n">
        <v>2</v>
      </c>
      <c r="J20" s="8">
        <f>IF(G20="","",G20*I20)</f>
        <v/>
      </c>
      <c r="K20" s="7" t="inlineStr">
        <is>
          <t>3D Print in-house / Filament cost</t>
        </is>
      </c>
      <c r="L20" s="7" t="inlineStr">
        <is>
          <t>Recommended</t>
        </is>
      </c>
      <c r="M20" s="7" t="inlineStr">
        <is>
          <t>To Order</t>
        </is>
      </c>
    </row>
    <row r="21" ht="18" customHeight="1">
      <c r="A21" s="7" t="n">
        <v>17</v>
      </c>
      <c r="B21" s="7" t="inlineStr">
        <is>
          <t>Drift Fin</t>
        </is>
      </c>
      <c r="C21" s="7" t="inlineStr">
        <is>
          <t>Thin curved stabilizer fin for hanging balance</t>
        </is>
      </c>
      <c r="D21" s="7" t="inlineStr">
        <is>
          <t>3D Printed Parts</t>
        </is>
      </c>
      <c r="E21" s="7" t="inlineStr">
        <is>
          <t>Garland Extras</t>
        </is>
      </c>
      <c r="F21" s="7" t="inlineStr">
        <is>
          <t>PETG-CF, ~10g each</t>
        </is>
      </c>
      <c r="G21" s="7" t="n">
        <v>16</v>
      </c>
      <c r="H21" s="7" t="inlineStr">
        <is>
          <t>ea</t>
        </is>
      </c>
      <c r="I21" s="8" t="n">
        <v>1</v>
      </c>
      <c r="J21" s="8">
        <f>IF(G21="","",G21*I21)</f>
        <v/>
      </c>
      <c r="K21" s="7" t="inlineStr">
        <is>
          <t>3D Print in-house / Filament cost</t>
        </is>
      </c>
      <c r="L21" s="7" t="inlineStr">
        <is>
          <t>Optional</t>
        </is>
      </c>
      <c r="M21" s="7" t="inlineStr">
        <is>
          <t>To Order</t>
        </is>
      </c>
    </row>
    <row r="22">
      <c r="A22" s="9" t="inlineStr">
        <is>
          <t>SUBTOTAL — 3D Printed Parts</t>
        </is>
      </c>
      <c r="B22" s="15" t="n"/>
      <c r="C22" s="15" t="n"/>
      <c r="D22" s="15" t="n"/>
      <c r="E22" s="15" t="n"/>
      <c r="F22" s="16" t="n"/>
      <c r="G22" s="9" t="n"/>
      <c r="H22" s="9" t="n"/>
      <c r="I22" s="10" t="n"/>
      <c r="J22" s="11">
        <f>SUM(J5:J21)</f>
        <v/>
      </c>
      <c r="K22" s="9" t="n"/>
      <c r="L22" s="9" t="n"/>
      <c r="M22" s="9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8" t="n"/>
      <c r="J23" s="8" t="n"/>
      <c r="K23" s="7" t="n"/>
      <c r="L23" s="7" t="n"/>
      <c r="M23" s="7" t="n"/>
    </row>
    <row r="24" ht="22" customHeight="1">
      <c r="A24" s="12" t="inlineStr">
        <is>
          <t>SECTION 2 — FILAMENTS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6" t="n"/>
    </row>
    <row r="25" ht="30" customHeight="1">
      <c r="A25" s="5" t="inlineStr">
        <is>
          <t>Item #</t>
        </is>
      </c>
      <c r="B25" s="5" t="inlineStr">
        <is>
          <t>Component Name</t>
        </is>
      </c>
      <c r="C25" s="5" t="inlineStr">
        <is>
          <t>Description / Notes</t>
        </is>
      </c>
      <c r="D25" s="5" t="inlineStr">
        <is>
          <t>Category</t>
        </is>
      </c>
      <c r="E25" s="5" t="inlineStr">
        <is>
          <t>Morphology / Assembly</t>
        </is>
      </c>
      <c r="F25" s="5" t="inlineStr">
        <is>
          <t>Material or Spec</t>
        </is>
      </c>
      <c r="G25" s="5" t="inlineStr">
        <is>
          <t>Qty</t>
        </is>
      </c>
      <c r="H25" s="5" t="inlineStr">
        <is>
          <t>Unit</t>
        </is>
      </c>
      <c r="I25" s="6" t="inlineStr">
        <is>
          <t>Unit Cost (CAD est.)</t>
        </is>
      </c>
      <c r="J25" s="6" t="inlineStr">
        <is>
          <t>Total Cost (CAD)</t>
        </is>
      </c>
      <c r="K25" s="5" t="inlineStr">
        <is>
          <t>Supplier / Source</t>
        </is>
      </c>
      <c r="L25" s="5" t="inlineStr">
        <is>
          <t>Priority</t>
        </is>
      </c>
      <c r="M25" s="5" t="inlineStr">
        <is>
          <t>Status</t>
        </is>
      </c>
    </row>
    <row r="26" ht="18" customHeight="1">
      <c r="A26" s="7" t="n">
        <v>18</v>
      </c>
      <c r="B26" s="7" t="inlineStr">
        <is>
          <t>PETG Standard Filament</t>
        </is>
      </c>
      <c r="C26" s="7" t="inlineStr">
        <is>
          <t>Black, white, and natural/translucent — standard structural filament</t>
        </is>
      </c>
      <c r="D26" s="7" t="inlineStr">
        <is>
          <t>Filaments</t>
        </is>
      </c>
      <c r="E26" s="7" t="inlineStr">
        <is>
          <t>All Print Morphologies</t>
        </is>
      </c>
      <c r="F26" s="7" t="inlineStr">
        <is>
          <t>PETG 1.75mm 1kg spool</t>
        </is>
      </c>
      <c r="G26" s="7" t="n">
        <v>3</v>
      </c>
      <c r="H26" s="7" t="inlineStr">
        <is>
          <t>spool</t>
        </is>
      </c>
      <c r="I26" s="8" t="n">
        <v>34</v>
      </c>
      <c r="J26" s="8">
        <f>IF(G26="","",G26*I26)</f>
        <v/>
      </c>
      <c r="K26" s="7" t="inlineStr">
        <is>
          <t>Prusa/MatterHackers/Amazon</t>
        </is>
      </c>
      <c r="L26" s="7" t="inlineStr">
        <is>
          <t>Critical</t>
        </is>
      </c>
      <c r="M26" s="7" t="inlineStr">
        <is>
          <t>To Order</t>
        </is>
      </c>
    </row>
    <row r="27" ht="18" customHeight="1">
      <c r="A27" s="7" t="n">
        <v>19</v>
      </c>
      <c r="B27" s="7" t="inlineStr">
        <is>
          <t>TPU 95A Flexible Filament</t>
        </is>
      </c>
      <c r="C27" s="7" t="inlineStr">
        <is>
          <t>Black flexible filament for vent rings and edge trim</t>
        </is>
      </c>
      <c r="D27" s="7" t="inlineStr">
        <is>
          <t>Filaments</t>
        </is>
      </c>
      <c r="E27" s="7" t="inlineStr">
        <is>
          <t>Vent Rings / Edge Trim</t>
        </is>
      </c>
      <c r="F27" s="7" t="inlineStr">
        <is>
          <t>TPU 95A 1.75mm 0.5kg spool</t>
        </is>
      </c>
      <c r="G27" s="7" t="n">
        <v>2</v>
      </c>
      <c r="H27" s="7" t="inlineStr">
        <is>
          <t>spool</t>
        </is>
      </c>
      <c r="I27" s="8" t="n">
        <v>28</v>
      </c>
      <c r="J27" s="8">
        <f>IF(G27="","",G27*I27)</f>
        <v/>
      </c>
      <c r="K27" s="7" t="inlineStr">
        <is>
          <t>Prusa/eSUN/Amazon</t>
        </is>
      </c>
      <c r="L27" s="7" t="inlineStr">
        <is>
          <t>Critical</t>
        </is>
      </c>
      <c r="M27" s="7" t="inlineStr">
        <is>
          <t>To Order</t>
        </is>
      </c>
    </row>
    <row r="28" ht="18" customHeight="1">
      <c r="A28" s="7" t="n">
        <v>20</v>
      </c>
      <c r="B28" s="7" t="inlineStr">
        <is>
          <t>TPU 85A Ultra-Flex Filament</t>
        </is>
      </c>
      <c r="C28" s="7" t="inlineStr">
        <is>
          <t>Black ultra-flex for garland spacer rings</t>
        </is>
      </c>
      <c r="D28" s="7" t="inlineStr">
        <is>
          <t>Filaments</t>
        </is>
      </c>
      <c r="E28" s="7" t="inlineStr">
        <is>
          <t>Spacer Rings</t>
        </is>
      </c>
      <c r="F28" s="7" t="inlineStr">
        <is>
          <t>TPU 85A 1.75mm 0.5kg spool</t>
        </is>
      </c>
      <c r="G28" s="7" t="n">
        <v>1</v>
      </c>
      <c r="H28" s="7" t="inlineStr">
        <is>
          <t>spool</t>
        </is>
      </c>
      <c r="I28" s="8" t="n">
        <v>30</v>
      </c>
      <c r="J28" s="8">
        <f>IF(G28="","",G28*I28)</f>
        <v/>
      </c>
      <c r="K28" s="7" t="inlineStr">
        <is>
          <t>Prusa/eSUN/Amazon</t>
        </is>
      </c>
      <c r="L28" s="7" t="inlineStr">
        <is>
          <t>Critical</t>
        </is>
      </c>
      <c r="M28" s="7" t="inlineStr">
        <is>
          <t>To Order</t>
        </is>
      </c>
    </row>
    <row r="29" ht="18" customHeight="1">
      <c r="A29" s="7" t="n">
        <v>21</v>
      </c>
      <c r="B29" s="7" t="inlineStr">
        <is>
          <t>Clear PETG Filament</t>
        </is>
      </c>
      <c r="C29" s="7" t="inlineStr">
        <is>
          <t>Transparent — for canopy diffuser optics</t>
        </is>
      </c>
      <c r="D29" s="7" t="inlineStr">
        <is>
          <t>Filaments</t>
        </is>
      </c>
      <c r="E29" s="7" t="inlineStr">
        <is>
          <t>Perch Pod Canopy</t>
        </is>
      </c>
      <c r="F29" s="7" t="inlineStr">
        <is>
          <t>Clear PETG 1.75mm 1kg spool</t>
        </is>
      </c>
      <c r="G29" s="7" t="n">
        <v>1</v>
      </c>
      <c r="H29" s="7" t="inlineStr">
        <is>
          <t>spool</t>
        </is>
      </c>
      <c r="I29" s="8" t="n">
        <v>38</v>
      </c>
      <c r="J29" s="8">
        <f>IF(G29="","",G29*I29)</f>
        <v/>
      </c>
      <c r="K29" s="7" t="inlineStr">
        <is>
          <t>Prusa/MatterHackers/Amazon</t>
        </is>
      </c>
      <c r="L29" s="7" t="inlineStr">
        <is>
          <t>Critical</t>
        </is>
      </c>
      <c r="M29" s="7" t="inlineStr">
        <is>
          <t>To Order</t>
        </is>
      </c>
    </row>
    <row r="30" ht="18" customHeight="1">
      <c r="A30" s="7" t="n">
        <v>22</v>
      </c>
      <c r="B30" s="7" t="inlineStr">
        <is>
          <t>PETG-CF Carbon Fiber Filament</t>
        </is>
      </c>
      <c r="C30" s="7" t="inlineStr">
        <is>
          <t>Carbon fiber reinforced PETG for drift fins and structural parts</t>
        </is>
      </c>
      <c r="D30" s="7" t="inlineStr">
        <is>
          <t>Filaments</t>
        </is>
      </c>
      <c r="E30" s="7" t="inlineStr">
        <is>
          <t>Drift Fins / Rigid Parts</t>
        </is>
      </c>
      <c r="F30" s="7" t="inlineStr">
        <is>
          <t>PETG-CF 1.75mm 0.5kg spool</t>
        </is>
      </c>
      <c r="G30" s="7" t="n">
        <v>1</v>
      </c>
      <c r="H30" s="7" t="inlineStr">
        <is>
          <t>spool</t>
        </is>
      </c>
      <c r="I30" s="8" t="n">
        <v>55</v>
      </c>
      <c r="J30" s="8">
        <f>IF(G30="","",G30*I30)</f>
        <v/>
      </c>
      <c r="K30" s="7" t="inlineStr">
        <is>
          <t>Prusa/Polymaker/Amazon</t>
        </is>
      </c>
      <c r="L30" s="7" t="inlineStr">
        <is>
          <t>Recommended</t>
        </is>
      </c>
      <c r="M30" s="7" t="inlineStr">
        <is>
          <t>To Order</t>
        </is>
      </c>
    </row>
    <row r="31" ht="18" customHeight="1">
      <c r="A31" s="7" t="n">
        <v>23</v>
      </c>
      <c r="B31" s="7" t="inlineStr">
        <is>
          <t>ASA UV-Resistant Filament</t>
        </is>
      </c>
      <c r="C31" s="7" t="inlineStr">
        <is>
          <t>UV-stable outdoor-grade filament, grey or black</t>
        </is>
      </c>
      <c r="D31" s="7" t="inlineStr">
        <is>
          <t>Filaments</t>
        </is>
      </c>
      <c r="E31" s="7" t="inlineStr">
        <is>
          <t>Reef Plates</t>
        </is>
      </c>
      <c r="F31" s="7" t="inlineStr">
        <is>
          <t>ASA 1.75mm 1kg spool</t>
        </is>
      </c>
      <c r="G31" s="7" t="n">
        <v>1</v>
      </c>
      <c r="H31" s="7" t="inlineStr">
        <is>
          <t>spool</t>
        </is>
      </c>
      <c r="I31" s="8" t="n">
        <v>40</v>
      </c>
      <c r="J31" s="8">
        <f>IF(G31="","",G31*I31)</f>
        <v/>
      </c>
      <c r="K31" s="7" t="inlineStr">
        <is>
          <t>Prusa/eSUN/Amazon</t>
        </is>
      </c>
      <c r="L31" s="7" t="inlineStr">
        <is>
          <t>Recommended</t>
        </is>
      </c>
      <c r="M31" s="7" t="inlineStr">
        <is>
          <t>To Order</t>
        </is>
      </c>
    </row>
    <row r="32">
      <c r="A32" s="9" t="inlineStr">
        <is>
          <t>SUBTOTAL — Filaments</t>
        </is>
      </c>
      <c r="B32" s="15" t="n"/>
      <c r="C32" s="15" t="n"/>
      <c r="D32" s="15" t="n"/>
      <c r="E32" s="15" t="n"/>
      <c r="F32" s="16" t="n"/>
      <c r="G32" s="9" t="n"/>
      <c r="H32" s="9" t="n"/>
      <c r="I32" s="10" t="n"/>
      <c r="J32" s="11">
        <f>SUM(J26:J31)</f>
        <v/>
      </c>
      <c r="K32" s="9" t="n"/>
      <c r="L32" s="9" t="n"/>
      <c r="M32" s="9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8" t="n"/>
      <c r="J33" s="8" t="n"/>
      <c r="K33" s="7" t="n"/>
      <c r="L33" s="7" t="n"/>
      <c r="M33" s="7" t="n"/>
    </row>
    <row r="34" ht="22" customHeight="1">
      <c r="A34" s="12" t="inlineStr">
        <is>
          <t>SECTION 3 — PRINTER UPGRADES &amp; FABRICATION EQUIPMENT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6" t="n"/>
    </row>
    <row r="35" ht="30" customHeight="1">
      <c r="A35" s="5" t="inlineStr">
        <is>
          <t>Item #</t>
        </is>
      </c>
      <c r="B35" s="5" t="inlineStr">
        <is>
          <t>Component Name</t>
        </is>
      </c>
      <c r="C35" s="5" t="inlineStr">
        <is>
          <t>Description / Notes</t>
        </is>
      </c>
      <c r="D35" s="5" t="inlineStr">
        <is>
          <t>Category</t>
        </is>
      </c>
      <c r="E35" s="5" t="inlineStr">
        <is>
          <t>Morphology / Assembly</t>
        </is>
      </c>
      <c r="F35" s="5" t="inlineStr">
        <is>
          <t>Material or Spec</t>
        </is>
      </c>
      <c r="G35" s="5" t="inlineStr">
        <is>
          <t>Qty</t>
        </is>
      </c>
      <c r="H35" s="5" t="inlineStr">
        <is>
          <t>Unit</t>
        </is>
      </c>
      <c r="I35" s="6" t="inlineStr">
        <is>
          <t>Unit Cost (CAD est.)</t>
        </is>
      </c>
      <c r="J35" s="6" t="inlineStr">
        <is>
          <t>Total Cost (CAD)</t>
        </is>
      </c>
      <c r="K35" s="5" t="inlineStr">
        <is>
          <t>Supplier / Source</t>
        </is>
      </c>
      <c r="L35" s="5" t="inlineStr">
        <is>
          <t>Priority</t>
        </is>
      </c>
      <c r="M35" s="5" t="inlineStr">
        <is>
          <t>Status</t>
        </is>
      </c>
    </row>
    <row r="36" ht="18" customHeight="1">
      <c r="A36" s="7" t="n">
        <v>24</v>
      </c>
      <c r="B36" s="7" t="inlineStr">
        <is>
          <t>Hardened Steel Nozzle 0.4mm</t>
        </is>
      </c>
      <c r="C36" s="7" t="inlineStr">
        <is>
          <t>For carbon fiber filaments; resists abrasive wear</t>
        </is>
      </c>
      <c r="D36" s="7" t="inlineStr">
        <is>
          <t>Printer Upgrades</t>
        </is>
      </c>
      <c r="E36" s="7" t="inlineStr">
        <is>
          <t>Printer Hardware</t>
        </is>
      </c>
      <c r="F36" s="7" t="inlineStr">
        <is>
          <t>Hardened steel, 0.4mm</t>
        </is>
      </c>
      <c r="G36" s="7" t="n">
        <v>3</v>
      </c>
      <c r="H36" s="7" t="inlineStr">
        <is>
          <t>ea</t>
        </is>
      </c>
      <c r="I36" s="8" t="n">
        <v>12</v>
      </c>
      <c r="J36" s="8">
        <f>IF(G36="","",G36*I36)</f>
        <v/>
      </c>
      <c r="K36" s="7" t="inlineStr">
        <is>
          <t>E3D / Trianglelab / Amazon</t>
        </is>
      </c>
      <c r="L36" s="7" t="inlineStr">
        <is>
          <t>Critical</t>
        </is>
      </c>
      <c r="M36" s="7" t="inlineStr">
        <is>
          <t>To Order</t>
        </is>
      </c>
    </row>
    <row r="37" ht="18" customHeight="1">
      <c r="A37" s="7" t="n">
        <v>25</v>
      </c>
      <c r="B37" s="7" t="inlineStr">
        <is>
          <t>Hardened Steel Nozzle 0.6mm</t>
        </is>
      </c>
      <c r="C37" s="7" t="inlineStr">
        <is>
          <t>For faster structural prints; wider extrusion</t>
        </is>
      </c>
      <c r="D37" s="7" t="inlineStr">
        <is>
          <t>Printer Upgrades</t>
        </is>
      </c>
      <c r="E37" s="7" t="inlineStr">
        <is>
          <t>Printer Hardware</t>
        </is>
      </c>
      <c r="F37" s="7" t="inlineStr">
        <is>
          <t>Hardened steel, 0.6mm</t>
        </is>
      </c>
      <c r="G37" s="7" t="n">
        <v>2</v>
      </c>
      <c r="H37" s="7" t="inlineStr">
        <is>
          <t>ea</t>
        </is>
      </c>
      <c r="I37" s="8" t="n">
        <v>13</v>
      </c>
      <c r="J37" s="8">
        <f>IF(G37="","",G37*I37)</f>
        <v/>
      </c>
      <c r="K37" s="7" t="inlineStr">
        <is>
          <t>E3D / Trianglelab / Amazon</t>
        </is>
      </c>
      <c r="L37" s="7" t="inlineStr">
        <is>
          <t>Recommended</t>
        </is>
      </c>
      <c r="M37" s="7" t="inlineStr">
        <is>
          <t>To Order</t>
        </is>
      </c>
    </row>
    <row r="38" ht="18" customHeight="1">
      <c r="A38" s="7" t="n">
        <v>26</v>
      </c>
      <c r="B38" s="7" t="inlineStr">
        <is>
          <t>All-Metal Hotend Upgrade Kit</t>
        </is>
      </c>
      <c r="C38" s="7" t="inlineStr">
        <is>
          <t>For high-temp PETG/ASA printing up to 300°C</t>
        </is>
      </c>
      <c r="D38" s="7" t="inlineStr">
        <is>
          <t>Printer Upgrades</t>
        </is>
      </c>
      <c r="E38" s="7" t="inlineStr">
        <is>
          <t>Printer Hardware</t>
        </is>
      </c>
      <c r="F38" s="7" t="inlineStr">
        <is>
          <t>All-metal, 300°C rated</t>
        </is>
      </c>
      <c r="G38" s="7" t="n">
        <v>1</v>
      </c>
      <c r="H38" s="7" t="inlineStr">
        <is>
          <t>kit</t>
        </is>
      </c>
      <c r="I38" s="8" t="n">
        <v>55</v>
      </c>
      <c r="J38" s="8">
        <f>IF(G38="","",G38*I38)</f>
        <v/>
      </c>
      <c r="K38" s="7" t="inlineStr">
        <is>
          <t>E3D / Micro Swiss / Amazon</t>
        </is>
      </c>
      <c r="L38" s="7" t="inlineStr">
        <is>
          <t>Critical</t>
        </is>
      </c>
      <c r="M38" s="7" t="inlineStr">
        <is>
          <t>To Order</t>
        </is>
      </c>
    </row>
    <row r="39" ht="18" customHeight="1">
      <c r="A39" s="7" t="n">
        <v>27</v>
      </c>
      <c r="B39" s="7" t="inlineStr">
        <is>
          <t>Direct Drive Extruder Upgrade Kit</t>
        </is>
      </c>
      <c r="C39" s="7" t="inlineStr">
        <is>
          <t>Direct drive conversion for better flex-filament control</t>
        </is>
      </c>
      <c r="D39" s="7" t="inlineStr">
        <is>
          <t>Printer Upgrades</t>
        </is>
      </c>
      <c r="E39" s="7" t="inlineStr">
        <is>
          <t>Printer Hardware</t>
        </is>
      </c>
      <c r="F39" s="7" t="inlineStr">
        <is>
          <t>Direct drive kit</t>
        </is>
      </c>
      <c r="G39" s="7" t="n">
        <v>1</v>
      </c>
      <c r="H39" s="7" t="inlineStr">
        <is>
          <t>kit</t>
        </is>
      </c>
      <c r="I39" s="8" t="n">
        <v>75</v>
      </c>
      <c r="J39" s="8">
        <f>IF(G39="","",G39*I39)</f>
        <v/>
      </c>
      <c r="K39" s="7" t="inlineStr">
        <is>
          <t>Bondtech / Trianglelab / Amazon</t>
        </is>
      </c>
      <c r="L39" s="7" t="inlineStr">
        <is>
          <t>Recommended</t>
        </is>
      </c>
      <c r="M39" s="7" t="inlineStr">
        <is>
          <t>To Order</t>
        </is>
      </c>
    </row>
    <row r="40" ht="18" customHeight="1">
      <c r="A40" s="7" t="n">
        <v>28</v>
      </c>
      <c r="B40" s="7" t="inlineStr">
        <is>
          <t>PEI Spring Steel Magnetic Build Plate</t>
        </is>
      </c>
      <c r="C40" s="7" t="inlineStr">
        <is>
          <t>Magnetic flex plate with PEI surface, 235x235mm</t>
        </is>
      </c>
      <c r="D40" s="7" t="inlineStr">
        <is>
          <t>Printer Upgrades</t>
        </is>
      </c>
      <c r="E40" s="7" t="inlineStr">
        <is>
          <t>Printer Hardware</t>
        </is>
      </c>
      <c r="F40" s="7" t="inlineStr">
        <is>
          <t>PEI spring steel, 235x235mm</t>
        </is>
      </c>
      <c r="G40" s="7" t="n">
        <v>2</v>
      </c>
      <c r="H40" s="7" t="inlineStr">
        <is>
          <t>ea</t>
        </is>
      </c>
      <c r="I40" s="8" t="n">
        <v>28</v>
      </c>
      <c r="J40" s="8">
        <f>IF(G40="","",G40*I40)</f>
        <v/>
      </c>
      <c r="K40" s="7" t="inlineStr">
        <is>
          <t>Prusa / Energetic / Amazon</t>
        </is>
      </c>
      <c r="L40" s="7" t="inlineStr">
        <is>
          <t>Recommended</t>
        </is>
      </c>
      <c r="M40" s="7" t="inlineStr">
        <is>
          <t>To Order</t>
        </is>
      </c>
    </row>
    <row r="41" ht="18" customHeight="1">
      <c r="A41" s="7" t="n">
        <v>29</v>
      </c>
      <c r="B41" s="7" t="inlineStr">
        <is>
          <t>Filament Drybox w/ Humidity Control</t>
        </is>
      </c>
      <c r="C41" s="7" t="inlineStr">
        <is>
          <t>Active drybox for moisture-sensitive filaments (TPU, PA, CF)</t>
        </is>
      </c>
      <c r="D41" s="7" t="inlineStr">
        <is>
          <t>Printer Upgrades</t>
        </is>
      </c>
      <c r="E41" s="7" t="inlineStr">
        <is>
          <t>Fab Equipment</t>
        </is>
      </c>
      <c r="F41" s="7" t="inlineStr">
        <is>
          <t>Drybox with hygrometer</t>
        </is>
      </c>
      <c r="G41" s="7" t="n">
        <v>1</v>
      </c>
      <c r="H41" s="7" t="inlineStr">
        <is>
          <t>ea</t>
        </is>
      </c>
      <c r="I41" s="8" t="n">
        <v>45</v>
      </c>
      <c r="J41" s="8">
        <f>IF(G41="","",G41*I41)</f>
        <v/>
      </c>
      <c r="K41" s="7" t="inlineStr">
        <is>
          <t>Sunlu / Eibos / Amazon</t>
        </is>
      </c>
      <c r="L41" s="7" t="inlineStr">
        <is>
          <t>Critical</t>
        </is>
      </c>
      <c r="M41" s="7" t="inlineStr">
        <is>
          <t>To Order</t>
        </is>
      </c>
    </row>
    <row r="42" ht="18" customHeight="1">
      <c r="A42" s="7" t="n">
        <v>30</v>
      </c>
      <c r="B42" s="7" t="inlineStr">
        <is>
          <t>Filament Moisture Sensor/Hygrometer</t>
        </is>
      </c>
      <c r="C42" s="7" t="inlineStr">
        <is>
          <t>Monitor humidity in drybox/storage</t>
        </is>
      </c>
      <c r="D42" s="7" t="inlineStr">
        <is>
          <t>Printer Upgrades</t>
        </is>
      </c>
      <c r="E42" s="7" t="inlineStr">
        <is>
          <t>Fab Equipment</t>
        </is>
      </c>
      <c r="F42" s="7" t="inlineStr">
        <is>
          <t>Digital hygrometer</t>
        </is>
      </c>
      <c r="G42" s="7" t="n">
        <v>2</v>
      </c>
      <c r="H42" s="7" t="inlineStr">
        <is>
          <t>ea</t>
        </is>
      </c>
      <c r="I42" s="8" t="n">
        <v>12</v>
      </c>
      <c r="J42" s="8">
        <f>IF(G42="","",G42*I42)</f>
        <v/>
      </c>
      <c r="K42" s="7" t="inlineStr">
        <is>
          <t>Amazon / local hardware</t>
        </is>
      </c>
      <c r="L42" s="7" t="inlineStr">
        <is>
          <t>Recommended</t>
        </is>
      </c>
      <c r="M42" s="7" t="inlineStr">
        <is>
          <t>To Order</t>
        </is>
      </c>
    </row>
    <row r="43" ht="18" customHeight="1">
      <c r="A43" s="7" t="n">
        <v>31</v>
      </c>
      <c r="B43" s="7" t="inlineStr">
        <is>
          <t>PTFE Bowden Tube</t>
        </is>
      </c>
      <c r="C43" s="7" t="inlineStr">
        <is>
          <t>Replacement tube 4mm OD 2mm ID, 3m length</t>
        </is>
      </c>
      <c r="D43" s="7" t="inlineStr">
        <is>
          <t>Printer Upgrades</t>
        </is>
      </c>
      <c r="E43" s="7" t="inlineStr">
        <is>
          <t>Printer Hardware</t>
        </is>
      </c>
      <c r="F43" s="7" t="inlineStr">
        <is>
          <t>PTFE, 4mm OD / 2mm ID, 3m</t>
        </is>
      </c>
      <c r="G43" s="7" t="n">
        <v>1</v>
      </c>
      <c r="H43" s="7" t="inlineStr">
        <is>
          <t>length</t>
        </is>
      </c>
      <c r="I43" s="8" t="n">
        <v>8</v>
      </c>
      <c r="J43" s="8">
        <f>IF(G43="","",G43*I43)</f>
        <v/>
      </c>
      <c r="K43" s="7" t="inlineStr">
        <is>
          <t>Capricorn / Amazon</t>
        </is>
      </c>
      <c r="L43" s="7" t="inlineStr">
        <is>
          <t>Recommended</t>
        </is>
      </c>
      <c r="M43" s="7" t="inlineStr">
        <is>
          <t>To Order</t>
        </is>
      </c>
    </row>
    <row r="44" ht="18" customHeight="1">
      <c r="A44" s="7" t="n">
        <v>32</v>
      </c>
      <c r="B44" s="7" t="inlineStr">
        <is>
          <t>Printer Enclosure Kit/DIY Panels</t>
        </is>
      </c>
      <c r="C44" s="7" t="inlineStr">
        <is>
          <t>Enclosure for controlled printing environment — required for ASA</t>
        </is>
      </c>
      <c r="D44" s="7" t="inlineStr">
        <is>
          <t>Printer Upgrades</t>
        </is>
      </c>
      <c r="E44" s="7" t="inlineStr">
        <is>
          <t>Fab Equipment</t>
        </is>
      </c>
      <c r="F44" s="7" t="inlineStr">
        <is>
          <t>Enclosure panels or kit</t>
        </is>
      </c>
      <c r="G44" s="7" t="n">
        <v>1</v>
      </c>
      <c r="H44" s="7" t="inlineStr">
        <is>
          <t>kit</t>
        </is>
      </c>
      <c r="I44" s="8" t="n">
        <v>80</v>
      </c>
      <c r="J44" s="8">
        <f>IF(G44="","",G44*I44)</f>
        <v/>
      </c>
      <c r="K44" s="7" t="inlineStr">
        <is>
          <t>IKEA Lack mod / Creality / DIY</t>
        </is>
      </c>
      <c r="L44" s="7" t="inlineStr">
        <is>
          <t>Critical</t>
        </is>
      </c>
      <c r="M44" s="7" t="inlineStr">
        <is>
          <t>To Order</t>
        </is>
      </c>
    </row>
    <row r="45">
      <c r="A45" s="9" t="inlineStr">
        <is>
          <t>SUBTOTAL — Printer Upgrades &amp; Fabrication Equipment</t>
        </is>
      </c>
      <c r="B45" s="15" t="n"/>
      <c r="C45" s="15" t="n"/>
      <c r="D45" s="15" t="n"/>
      <c r="E45" s="15" t="n"/>
      <c r="F45" s="16" t="n"/>
      <c r="G45" s="9" t="n"/>
      <c r="H45" s="9" t="n"/>
      <c r="I45" s="10" t="n"/>
      <c r="J45" s="11">
        <f>SUM(J36:J44)</f>
        <v/>
      </c>
      <c r="K45" s="9" t="n"/>
      <c r="L45" s="9" t="n"/>
      <c r="M45" s="9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8" t="n"/>
      <c r="J46" s="8" t="n"/>
      <c r="K46" s="7" t="n"/>
      <c r="L46" s="7" t="n"/>
      <c r="M46" s="7" t="n"/>
    </row>
    <row r="47" ht="22" customHeight="1">
      <c r="A47" s="12" t="inlineStr">
        <is>
          <t>SECTION 4 — MECHANICAL HARDWARE: FASTENERS &amp; STRUCTURAL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6" t="n"/>
    </row>
    <row r="48" ht="30" customHeight="1">
      <c r="A48" s="5" t="inlineStr">
        <is>
          <t>Item #</t>
        </is>
      </c>
      <c r="B48" s="5" t="inlineStr">
        <is>
          <t>Component Name</t>
        </is>
      </c>
      <c r="C48" s="5" t="inlineStr">
        <is>
          <t>Description / Notes</t>
        </is>
      </c>
      <c r="D48" s="5" t="inlineStr">
        <is>
          <t>Category</t>
        </is>
      </c>
      <c r="E48" s="5" t="inlineStr">
        <is>
          <t>Morphology / Assembly</t>
        </is>
      </c>
      <c r="F48" s="5" t="inlineStr">
        <is>
          <t>Material or Spec</t>
        </is>
      </c>
      <c r="G48" s="5" t="inlineStr">
        <is>
          <t>Qty</t>
        </is>
      </c>
      <c r="H48" s="5" t="inlineStr">
        <is>
          <t>Unit</t>
        </is>
      </c>
      <c r="I48" s="6" t="inlineStr">
        <is>
          <t>Unit Cost (CAD est.)</t>
        </is>
      </c>
      <c r="J48" s="6" t="inlineStr">
        <is>
          <t>Total Cost (CAD)</t>
        </is>
      </c>
      <c r="K48" s="5" t="inlineStr">
        <is>
          <t>Supplier / Source</t>
        </is>
      </c>
      <c r="L48" s="5" t="inlineStr">
        <is>
          <t>Priority</t>
        </is>
      </c>
      <c r="M48" s="5" t="inlineStr">
        <is>
          <t>Status</t>
        </is>
      </c>
    </row>
    <row r="49" ht="18" customHeight="1">
      <c r="A49" s="7" t="n">
        <v>33</v>
      </c>
      <c r="B49" s="7" t="inlineStr">
        <is>
          <t>M3x8mm SHCS Stainless</t>
        </is>
      </c>
      <c r="C49" s="7" t="inlineStr">
        <is>
          <t>Socket head cap screw M3x8mm stainless steel</t>
        </is>
      </c>
      <c r="D49" s="7" t="inlineStr">
        <is>
          <t>Mechanical Hardware</t>
        </is>
      </c>
      <c r="E49" s="7" t="inlineStr">
        <is>
          <t>Fasteners</t>
        </is>
      </c>
      <c r="F49" s="7" t="inlineStr">
        <is>
          <t>M3x8 SHCS, 316 SS</t>
        </is>
      </c>
      <c r="G49" s="7" t="n">
        <v>100</v>
      </c>
      <c r="H49" s="7" t="inlineStr">
        <is>
          <t>ea</t>
        </is>
      </c>
      <c r="I49" s="8" t="n">
        <v>0.08</v>
      </c>
      <c r="J49" s="8">
        <f>IF(G49="","",G49*I49)</f>
        <v/>
      </c>
      <c r="K49" s="7" t="inlineStr">
        <is>
          <t>Bolt Depot / Fastenal / Amazon</t>
        </is>
      </c>
      <c r="L49" s="7" t="inlineStr">
        <is>
          <t>Critical</t>
        </is>
      </c>
      <c r="M49" s="7" t="inlineStr">
        <is>
          <t>In Stock</t>
        </is>
      </c>
    </row>
    <row r="50" ht="18" customHeight="1">
      <c r="A50" s="7" t="n">
        <v>34</v>
      </c>
      <c r="B50" s="7" t="inlineStr">
        <is>
          <t>M3x12mm SHCS Stainless</t>
        </is>
      </c>
      <c r="C50" s="7" t="inlineStr">
        <is>
          <t>Socket head cap screw M3x12mm stainless steel</t>
        </is>
      </c>
      <c r="D50" s="7" t="inlineStr">
        <is>
          <t>Mechanical Hardware</t>
        </is>
      </c>
      <c r="E50" s="7" t="inlineStr">
        <is>
          <t>Fasteners</t>
        </is>
      </c>
      <c r="F50" s="7" t="inlineStr">
        <is>
          <t>M3x12 SHCS, 316 SS</t>
        </is>
      </c>
      <c r="G50" s="7" t="n">
        <v>60</v>
      </c>
      <c r="H50" s="7" t="inlineStr">
        <is>
          <t>ea</t>
        </is>
      </c>
      <c r="I50" s="8" t="n">
        <v>0.09</v>
      </c>
      <c r="J50" s="8">
        <f>IF(G50="","",G50*I50)</f>
        <v/>
      </c>
      <c r="K50" s="7" t="inlineStr">
        <is>
          <t>Bolt Depot / Fastenal / Amazon</t>
        </is>
      </c>
      <c r="L50" s="7" t="inlineStr">
        <is>
          <t>Critical</t>
        </is>
      </c>
      <c r="M50" s="7" t="inlineStr">
        <is>
          <t>To Order</t>
        </is>
      </c>
    </row>
    <row r="51" ht="18" customHeight="1">
      <c r="A51" s="7" t="n">
        <v>35</v>
      </c>
      <c r="B51" s="7" t="inlineStr">
        <is>
          <t>M3x20mm SHCS Stainless</t>
        </is>
      </c>
      <c r="C51" s="7" t="inlineStr">
        <is>
          <t>Socket head cap screw M3x20mm stainless steel</t>
        </is>
      </c>
      <c r="D51" s="7" t="inlineStr">
        <is>
          <t>Mechanical Hardware</t>
        </is>
      </c>
      <c r="E51" s="7" t="inlineStr">
        <is>
          <t>Fasteners</t>
        </is>
      </c>
      <c r="F51" s="7" t="inlineStr">
        <is>
          <t>M3x20 SHCS, 316 SS</t>
        </is>
      </c>
      <c r="G51" s="7" t="n">
        <v>40</v>
      </c>
      <c r="H51" s="7" t="inlineStr">
        <is>
          <t>ea</t>
        </is>
      </c>
      <c r="I51" s="8" t="n">
        <v>0.1</v>
      </c>
      <c r="J51" s="8">
        <f>IF(G51="","",G51*I51)</f>
        <v/>
      </c>
      <c r="K51" s="7" t="inlineStr">
        <is>
          <t>Bolt Depot / Fastenal / Amazon</t>
        </is>
      </c>
      <c r="L51" s="7" t="inlineStr">
        <is>
          <t>Critical</t>
        </is>
      </c>
      <c r="M51" s="7" t="inlineStr">
        <is>
          <t>To Order</t>
        </is>
      </c>
    </row>
    <row r="52" ht="18" customHeight="1">
      <c r="A52" s="7" t="n">
        <v>36</v>
      </c>
      <c r="B52" s="7" t="inlineStr">
        <is>
          <t>M3 Hex Nut Stainless</t>
        </is>
      </c>
      <c r="C52" s="7" t="inlineStr">
        <is>
          <t>Standard M3 hex nut, stainless steel</t>
        </is>
      </c>
      <c r="D52" s="7" t="inlineStr">
        <is>
          <t>Mechanical Hardware</t>
        </is>
      </c>
      <c r="E52" s="7" t="inlineStr">
        <is>
          <t>Fasteners</t>
        </is>
      </c>
      <c r="F52" s="7" t="inlineStr">
        <is>
          <t>M3 hex nut, 316 SS</t>
        </is>
      </c>
      <c r="G52" s="7" t="n">
        <v>120</v>
      </c>
      <c r="H52" s="7" t="inlineStr">
        <is>
          <t>ea</t>
        </is>
      </c>
      <c r="I52" s="8" t="n">
        <v>0.06</v>
      </c>
      <c r="J52" s="8">
        <f>IF(G52="","",G52*I52)</f>
        <v/>
      </c>
      <c r="K52" s="7" t="inlineStr">
        <is>
          <t>Bolt Depot / Fastenal / Amazon</t>
        </is>
      </c>
      <c r="L52" s="7" t="inlineStr">
        <is>
          <t>Critical</t>
        </is>
      </c>
      <c r="M52" s="7" t="inlineStr">
        <is>
          <t>To Order</t>
        </is>
      </c>
    </row>
    <row r="53" ht="18" customHeight="1">
      <c r="A53" s="7" t="n">
        <v>37</v>
      </c>
      <c r="B53" s="7" t="inlineStr">
        <is>
          <t>M3 Washer Stainless</t>
        </is>
      </c>
      <c r="C53" s="7" t="inlineStr">
        <is>
          <t>Standard M3 flat washer, stainless steel</t>
        </is>
      </c>
      <c r="D53" s="7" t="inlineStr">
        <is>
          <t>Mechanical Hardware</t>
        </is>
      </c>
      <c r="E53" s="7" t="inlineStr">
        <is>
          <t>Fasteners</t>
        </is>
      </c>
      <c r="F53" s="7" t="inlineStr">
        <is>
          <t>M3 washer, 316 SS</t>
        </is>
      </c>
      <c r="G53" s="7" t="n">
        <v>120</v>
      </c>
      <c r="H53" s="7" t="inlineStr">
        <is>
          <t>ea</t>
        </is>
      </c>
      <c r="I53" s="8" t="n">
        <v>0.05</v>
      </c>
      <c r="J53" s="8">
        <f>IF(G53="","",G53*I53)</f>
        <v/>
      </c>
      <c r="K53" s="7" t="inlineStr">
        <is>
          <t>Bolt Depot / Fastenal / Amazon</t>
        </is>
      </c>
      <c r="L53" s="7" t="inlineStr">
        <is>
          <t>Critical</t>
        </is>
      </c>
      <c r="M53" s="7" t="inlineStr">
        <is>
          <t>To Order</t>
        </is>
      </c>
    </row>
    <row r="54" ht="18" customHeight="1">
      <c r="A54" s="7" t="n">
        <v>38</v>
      </c>
      <c r="B54" s="7" t="inlineStr">
        <is>
          <t>M3x4.6mm Heat-Set Inserts</t>
        </is>
      </c>
      <c r="C54" s="7" t="inlineStr">
        <is>
          <t>Brass heat-set threaded inserts for PETG parts</t>
        </is>
      </c>
      <c r="D54" s="7" t="inlineStr">
        <is>
          <t>Mechanical Hardware</t>
        </is>
      </c>
      <c r="E54" s="7" t="inlineStr">
        <is>
          <t>Fasteners</t>
        </is>
      </c>
      <c r="F54" s="7" t="inlineStr">
        <is>
          <t>M3x4.6mm brass heat-set</t>
        </is>
      </c>
      <c r="G54" s="7" t="n">
        <v>150</v>
      </c>
      <c r="H54" s="7" t="inlineStr">
        <is>
          <t>ea</t>
        </is>
      </c>
      <c r="I54" s="8" t="n">
        <v>0.18</v>
      </c>
      <c r="J54" s="8">
        <f>IF(G54="","",G54*I54)</f>
        <v/>
      </c>
      <c r="K54" s="7" t="inlineStr">
        <is>
          <t>CNC Kitchen / Amazon / 3Dmakerworld</t>
        </is>
      </c>
      <c r="L54" s="7" t="inlineStr">
        <is>
          <t>Critical</t>
        </is>
      </c>
      <c r="M54" s="7" t="inlineStr">
        <is>
          <t>To Order</t>
        </is>
      </c>
    </row>
    <row r="55" ht="18" customHeight="1">
      <c r="A55" s="7" t="n">
        <v>39</v>
      </c>
      <c r="B55" s="7" t="inlineStr">
        <is>
          <t>M2x6mm SHCS Stainless</t>
        </is>
      </c>
      <c r="C55" s="7" t="inlineStr">
        <is>
          <t>Socket head cap screw M2x6mm stainless steel</t>
        </is>
      </c>
      <c r="D55" s="7" t="inlineStr">
        <is>
          <t>Mechanical Hardware</t>
        </is>
      </c>
      <c r="E55" s="7" t="inlineStr">
        <is>
          <t>Fasteners</t>
        </is>
      </c>
      <c r="F55" s="7" t="inlineStr">
        <is>
          <t>M2x6 SHCS, 316 SS</t>
        </is>
      </c>
      <c r="G55" s="7" t="n">
        <v>60</v>
      </c>
      <c r="H55" s="7" t="inlineStr">
        <is>
          <t>ea</t>
        </is>
      </c>
      <c r="I55" s="8" t="n">
        <v>0.07000000000000001</v>
      </c>
      <c r="J55" s="8">
        <f>IF(G55="","",G55*I55)</f>
        <v/>
      </c>
      <c r="K55" s="7" t="inlineStr">
        <is>
          <t>Bolt Depot / Fastenal / Amazon</t>
        </is>
      </c>
      <c r="L55" s="7" t="inlineStr">
        <is>
          <t>Recommended</t>
        </is>
      </c>
      <c r="M55" s="7" t="inlineStr">
        <is>
          <t>To Order</t>
        </is>
      </c>
    </row>
    <row r="56" ht="18" customHeight="1">
      <c r="A56" s="7" t="n">
        <v>40</v>
      </c>
      <c r="B56" s="7" t="inlineStr">
        <is>
          <t>M2 Hex Nut Stainless</t>
        </is>
      </c>
      <c r="C56" s="7" t="inlineStr">
        <is>
          <t>Standard M2 hex nut, stainless steel</t>
        </is>
      </c>
      <c r="D56" s="7" t="inlineStr">
        <is>
          <t>Mechanical Hardware</t>
        </is>
      </c>
      <c r="E56" s="7" t="inlineStr">
        <is>
          <t>Fasteners</t>
        </is>
      </c>
      <c r="F56" s="7" t="inlineStr">
        <is>
          <t>M2 hex nut, 316 SS</t>
        </is>
      </c>
      <c r="G56" s="7" t="n">
        <v>60</v>
      </c>
      <c r="H56" s="7" t="inlineStr">
        <is>
          <t>ea</t>
        </is>
      </c>
      <c r="I56" s="8" t="n">
        <v>0.05</v>
      </c>
      <c r="J56" s="8">
        <f>IF(G56="","",G56*I56)</f>
        <v/>
      </c>
      <c r="K56" s="7" t="inlineStr">
        <is>
          <t>Bolt Depot / Fastenal / Amazon</t>
        </is>
      </c>
      <c r="L56" s="7" t="inlineStr">
        <is>
          <t>Recommended</t>
        </is>
      </c>
      <c r="M56" s="7" t="inlineStr">
        <is>
          <t>To Order</t>
        </is>
      </c>
    </row>
    <row r="57" ht="18" customHeight="1">
      <c r="A57" s="7" t="n">
        <v>41</v>
      </c>
      <c r="B57" s="7" t="inlineStr">
        <is>
          <t>M4x16mm SHCS Stainless</t>
        </is>
      </c>
      <c r="C57" s="7" t="inlineStr">
        <is>
          <t>Socket head cap screw M4x16mm stainless steel</t>
        </is>
      </c>
      <c r="D57" s="7" t="inlineStr">
        <is>
          <t>Mechanical Hardware</t>
        </is>
      </c>
      <c r="E57" s="7" t="inlineStr">
        <is>
          <t>Fasteners</t>
        </is>
      </c>
      <c r="F57" s="7" t="inlineStr">
        <is>
          <t>M4x16 SHCS, 316 SS</t>
        </is>
      </c>
      <c r="G57" s="7" t="n">
        <v>30</v>
      </c>
      <c r="H57" s="7" t="inlineStr">
        <is>
          <t>ea</t>
        </is>
      </c>
      <c r="I57" s="8" t="n">
        <v>0.12</v>
      </c>
      <c r="J57" s="8">
        <f>IF(G57="","",G57*I57)</f>
        <v/>
      </c>
      <c r="K57" s="7" t="inlineStr">
        <is>
          <t>Bolt Depot / Fastenal / Amazon</t>
        </is>
      </c>
      <c r="L57" s="7" t="inlineStr">
        <is>
          <t>Recommended</t>
        </is>
      </c>
      <c r="M57" s="7" t="inlineStr">
        <is>
          <t>To Order</t>
        </is>
      </c>
    </row>
    <row r="58" ht="18" customHeight="1">
      <c r="A58" s="7" t="n">
        <v>42</v>
      </c>
      <c r="B58" s="7" t="inlineStr">
        <is>
          <t>M4 Hex Nut Stainless</t>
        </is>
      </c>
      <c r="C58" s="7" t="inlineStr">
        <is>
          <t>Standard M4 hex nut, stainless steel</t>
        </is>
      </c>
      <c r="D58" s="7" t="inlineStr">
        <is>
          <t>Mechanical Hardware</t>
        </is>
      </c>
      <c r="E58" s="7" t="inlineStr">
        <is>
          <t>Fasteners</t>
        </is>
      </c>
      <c r="F58" s="7" t="inlineStr">
        <is>
          <t>M4 hex nut, 316 SS</t>
        </is>
      </c>
      <c r="G58" s="7" t="n">
        <v>30</v>
      </c>
      <c r="H58" s="7" t="inlineStr">
        <is>
          <t>ea</t>
        </is>
      </c>
      <c r="I58" s="8" t="n">
        <v>0.07000000000000001</v>
      </c>
      <c r="J58" s="8">
        <f>IF(G58="","",G58*I58)</f>
        <v/>
      </c>
      <c r="K58" s="7" t="inlineStr">
        <is>
          <t>Bolt Depot / Fastenal / Amazon</t>
        </is>
      </c>
      <c r="L58" s="7" t="inlineStr">
        <is>
          <t>Recommended</t>
        </is>
      </c>
      <c r="M58" s="7" t="inlineStr">
        <is>
          <t>To Order</t>
        </is>
      </c>
    </row>
    <row r="59" ht="18" customHeight="1">
      <c r="A59" s="7" t="n">
        <v>43</v>
      </c>
      <c r="B59" s="7" t="inlineStr">
        <is>
          <t>M4 Washer Stainless</t>
        </is>
      </c>
      <c r="C59" s="7" t="inlineStr">
        <is>
          <t>Standard M4 flat washer, stainless steel</t>
        </is>
      </c>
      <c r="D59" s="7" t="inlineStr">
        <is>
          <t>Mechanical Hardware</t>
        </is>
      </c>
      <c r="E59" s="7" t="inlineStr">
        <is>
          <t>Fasteners</t>
        </is>
      </c>
      <c r="F59" s="7" t="inlineStr">
        <is>
          <t>M4 washer, 316 SS</t>
        </is>
      </c>
      <c r="G59" s="7" t="n">
        <v>30</v>
      </c>
      <c r="H59" s="7" t="inlineStr">
        <is>
          <t>ea</t>
        </is>
      </c>
      <c r="I59" s="8" t="n">
        <v>0.06</v>
      </c>
      <c r="J59" s="8">
        <f>IF(G59="","",G59*I59)</f>
        <v/>
      </c>
      <c r="K59" s="7" t="inlineStr">
        <is>
          <t>Bolt Depot / Fastenal / Amazon</t>
        </is>
      </c>
      <c r="L59" s="7" t="inlineStr">
        <is>
          <t>Recommended</t>
        </is>
      </c>
      <c r="M59" s="7" t="inlineStr">
        <is>
          <t>To Order</t>
        </is>
      </c>
    </row>
    <row r="60" ht="18" customHeight="1">
      <c r="A60" s="7" t="n">
        <v>44</v>
      </c>
      <c r="B60" s="7" t="inlineStr">
        <is>
          <t>8mm Steel Shaft Rod 200mm</t>
        </is>
      </c>
      <c r="C60" s="7" t="inlineStr">
        <is>
          <t>Pivot axle rods for garland links, 200mm length</t>
        </is>
      </c>
      <c r="D60" s="7" t="inlineStr">
        <is>
          <t>Mechanical Hardware</t>
        </is>
      </c>
      <c r="E60" s="7" t="inlineStr">
        <is>
          <t>Structural</t>
        </is>
      </c>
      <c r="F60" s="7" t="inlineStr">
        <is>
          <t>8mm dia steel, 200mm</t>
        </is>
      </c>
      <c r="G60" s="7" t="n">
        <v>6</v>
      </c>
      <c r="H60" s="7" t="inlineStr">
        <is>
          <t>ea</t>
        </is>
      </c>
      <c r="I60" s="8" t="n">
        <v>3.2</v>
      </c>
      <c r="J60" s="8">
        <f>IF(G60="","",G60*I60)</f>
        <v/>
      </c>
      <c r="K60" s="7" t="inlineStr">
        <is>
          <t>Metal Supermarkets / Amazon</t>
        </is>
      </c>
      <c r="L60" s="7" t="inlineStr">
        <is>
          <t>Critical</t>
        </is>
      </c>
      <c r="M60" s="7" t="inlineStr">
        <is>
          <t>To Order</t>
        </is>
      </c>
    </row>
    <row r="61" ht="18" customHeight="1">
      <c r="A61" s="7" t="n">
        <v>45</v>
      </c>
      <c r="B61" s="7" t="inlineStr">
        <is>
          <t>4mm Steel Shaft 150mm</t>
        </is>
      </c>
      <c r="C61" s="7" t="inlineStr">
        <is>
          <t>Pulley axle rods, 4mm diameter 150mm length</t>
        </is>
      </c>
      <c r="D61" s="7" t="inlineStr">
        <is>
          <t>Mechanical Hardware</t>
        </is>
      </c>
      <c r="E61" s="7" t="inlineStr">
        <is>
          <t>Structural</t>
        </is>
      </c>
      <c r="F61" s="7" t="inlineStr">
        <is>
          <t>4mm dia steel, 150mm</t>
        </is>
      </c>
      <c r="G61" s="7" t="n">
        <v>12</v>
      </c>
      <c r="H61" s="7" t="inlineStr">
        <is>
          <t>ea</t>
        </is>
      </c>
      <c r="I61" s="8" t="n">
        <v>1.8</v>
      </c>
      <c r="J61" s="8">
        <f>IF(G61="","",G61*I61)</f>
        <v/>
      </c>
      <c r="K61" s="7" t="inlineStr">
        <is>
          <t>Metal Supermarkets / Amazon</t>
        </is>
      </c>
      <c r="L61" s="7" t="inlineStr">
        <is>
          <t>Critical</t>
        </is>
      </c>
      <c r="M61" s="7" t="inlineStr">
        <is>
          <t>To Order</t>
        </is>
      </c>
    </row>
    <row r="62" ht="18" customHeight="1">
      <c r="A62" s="7" t="n">
        <v>46</v>
      </c>
      <c r="B62" s="7" t="inlineStr">
        <is>
          <t>Nylon Spacer 3mm ID 6mm OD 3mm</t>
        </is>
      </c>
      <c r="C62" s="7" t="inlineStr">
        <is>
          <t>Nylon spacer for axle/shaft clearance</t>
        </is>
      </c>
      <c r="D62" s="7" t="inlineStr">
        <is>
          <t>Mechanical Hardware</t>
        </is>
      </c>
      <c r="E62" s="7" t="inlineStr">
        <is>
          <t>Structural</t>
        </is>
      </c>
      <c r="F62" s="7" t="inlineStr">
        <is>
          <t>Nylon, 3mm ID / 6mm OD / 3mm L</t>
        </is>
      </c>
      <c r="G62" s="7" t="n">
        <v>48</v>
      </c>
      <c r="H62" s="7" t="inlineStr">
        <is>
          <t>ea</t>
        </is>
      </c>
      <c r="I62" s="8" t="n">
        <v>0.15</v>
      </c>
      <c r="J62" s="8">
        <f>IF(G62="","",G62*I62)</f>
        <v/>
      </c>
      <c r="K62" s="7" t="inlineStr">
        <is>
          <t>Bolt Depot / Amazon</t>
        </is>
      </c>
      <c r="L62" s="7" t="inlineStr">
        <is>
          <t>Recommended</t>
        </is>
      </c>
      <c r="M62" s="7" t="inlineStr">
        <is>
          <t>To Order</t>
        </is>
      </c>
    </row>
    <row r="63" ht="18" customHeight="1">
      <c r="A63" s="7" t="n">
        <v>47</v>
      </c>
      <c r="B63" s="7" t="inlineStr">
        <is>
          <t>Compression Spring 8mm OD 20mm</t>
        </is>
      </c>
      <c r="C63" s="7" t="inlineStr">
        <is>
          <t>Medium tension compression spring for tendon tensioners</t>
        </is>
      </c>
      <c r="D63" s="7" t="inlineStr">
        <is>
          <t>Mechanical Hardware</t>
        </is>
      </c>
      <c r="E63" s="7" t="inlineStr">
        <is>
          <t>Structural</t>
        </is>
      </c>
      <c r="F63" s="7" t="inlineStr">
        <is>
          <t>8mm OD / 20mm L, med tension</t>
        </is>
      </c>
      <c r="G63" s="7" t="n">
        <v>12</v>
      </c>
      <c r="H63" s="7" t="inlineStr">
        <is>
          <t>ea</t>
        </is>
      </c>
      <c r="I63" s="8" t="n">
        <v>0.8</v>
      </c>
      <c r="J63" s="8">
        <f>IF(G63="","",G63*I63)</f>
        <v/>
      </c>
      <c r="K63" s="7" t="inlineStr">
        <is>
          <t>Specs / Amazon / McMaster-Carr</t>
        </is>
      </c>
      <c r="L63" s="7" t="inlineStr">
        <is>
          <t>Critical</t>
        </is>
      </c>
      <c r="M63" s="7" t="inlineStr">
        <is>
          <t>To Order</t>
        </is>
      </c>
    </row>
    <row r="64">
      <c r="A64" s="9" t="inlineStr">
        <is>
          <t>SUBTOTAL — Mechanical Hardware</t>
        </is>
      </c>
      <c r="B64" s="15" t="n"/>
      <c r="C64" s="15" t="n"/>
      <c r="D64" s="15" t="n"/>
      <c r="E64" s="15" t="n"/>
      <c r="F64" s="16" t="n"/>
      <c r="G64" s="9" t="n"/>
      <c r="H64" s="9" t="n"/>
      <c r="I64" s="10" t="n"/>
      <c r="J64" s="11">
        <f>SUM(J49:J63)</f>
        <v/>
      </c>
      <c r="K64" s="9" t="n"/>
      <c r="L64" s="9" t="n"/>
      <c r="M64" s="9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8" t="n"/>
      <c r="J65" s="8" t="n"/>
      <c r="K65" s="7" t="n"/>
      <c r="L65" s="7" t="n"/>
      <c r="M65" s="7" t="n"/>
    </row>
    <row r="66" ht="22" customHeight="1">
      <c r="A66" s="12" t="inlineStr">
        <is>
          <t>SECTION 5 — WIRE, CABLE &amp; TENDONS</t>
        </is>
      </c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6" t="n"/>
    </row>
    <row r="67" ht="30" customHeight="1">
      <c r="A67" s="5" t="inlineStr">
        <is>
          <t>Item #</t>
        </is>
      </c>
      <c r="B67" s="5" t="inlineStr">
        <is>
          <t>Component Name</t>
        </is>
      </c>
      <c r="C67" s="5" t="inlineStr">
        <is>
          <t>Description / Notes</t>
        </is>
      </c>
      <c r="D67" s="5" t="inlineStr">
        <is>
          <t>Category</t>
        </is>
      </c>
      <c r="E67" s="5" t="inlineStr">
        <is>
          <t>Morphology / Assembly</t>
        </is>
      </c>
      <c r="F67" s="5" t="inlineStr">
        <is>
          <t>Material or Spec</t>
        </is>
      </c>
      <c r="G67" s="5" t="inlineStr">
        <is>
          <t>Qty</t>
        </is>
      </c>
      <c r="H67" s="5" t="inlineStr">
        <is>
          <t>Unit</t>
        </is>
      </c>
      <c r="I67" s="6" t="inlineStr">
        <is>
          <t>Unit Cost (CAD est.)</t>
        </is>
      </c>
      <c r="J67" s="6" t="inlineStr">
        <is>
          <t>Total Cost (CAD)</t>
        </is>
      </c>
      <c r="K67" s="5" t="inlineStr">
        <is>
          <t>Supplier / Source</t>
        </is>
      </c>
      <c r="L67" s="5" t="inlineStr">
        <is>
          <t>Priority</t>
        </is>
      </c>
      <c r="M67" s="5" t="inlineStr">
        <is>
          <t>Status</t>
        </is>
      </c>
    </row>
    <row r="68" ht="18" customHeight="1">
      <c r="A68" s="7" t="n">
        <v>48</v>
      </c>
      <c r="B68" s="7" t="inlineStr">
        <is>
          <t>Spectra/Dyneema Fishing Line 0.4mm</t>
        </is>
      </c>
      <c r="C68" s="7" t="inlineStr">
        <is>
          <t>Primary tendon material, 20lb breaking strength</t>
        </is>
      </c>
      <c r="D68" s="7" t="inlineStr">
        <is>
          <t>Wire &amp; Cable</t>
        </is>
      </c>
      <c r="E68" s="7" t="inlineStr">
        <is>
          <t>Tendons</t>
        </is>
      </c>
      <c r="F68" s="7" t="inlineStr">
        <is>
          <t>0.4mm, 20lb, 100m spool</t>
        </is>
      </c>
      <c r="G68" s="7" t="n">
        <v>1</v>
      </c>
      <c r="H68" s="7" t="inlineStr">
        <is>
          <t>spool</t>
        </is>
      </c>
      <c r="I68" s="8" t="n">
        <v>18</v>
      </c>
      <c r="J68" s="8">
        <f>IF(G68="","",G68*I68)</f>
        <v/>
      </c>
      <c r="K68" s="7" t="inlineStr">
        <is>
          <t>Amazon / fishing supply</t>
        </is>
      </c>
      <c r="L68" s="7" t="inlineStr">
        <is>
          <t>Critical</t>
        </is>
      </c>
      <c r="M68" s="7" t="inlineStr">
        <is>
          <t>To Order</t>
        </is>
      </c>
    </row>
    <row r="69" ht="18" customHeight="1">
      <c r="A69" s="7" t="n">
        <v>49</v>
      </c>
      <c r="B69" s="7" t="inlineStr">
        <is>
          <t>Stainless Steel Wire Rope 0.8mm</t>
        </is>
      </c>
      <c r="C69" s="7" t="inlineStr">
        <is>
          <t>Structural rigging wire, 30m reel</t>
        </is>
      </c>
      <c r="D69" s="7" t="inlineStr">
        <is>
          <t>Wire &amp; Cable</t>
        </is>
      </c>
      <c r="E69" s="7" t="inlineStr">
        <is>
          <t>Rigging</t>
        </is>
      </c>
      <c r="F69" s="7" t="inlineStr">
        <is>
          <t>0.8mm SS wire rope, 30m</t>
        </is>
      </c>
      <c r="G69" s="7" t="n">
        <v>1</v>
      </c>
      <c r="H69" s="7" t="inlineStr">
        <is>
          <t>reel</t>
        </is>
      </c>
      <c r="I69" s="8" t="n">
        <v>22</v>
      </c>
      <c r="J69" s="8">
        <f>IF(G69="","",G69*I69)</f>
        <v/>
      </c>
      <c r="K69" s="7" t="inlineStr">
        <is>
          <t>Amazon / rigging supply</t>
        </is>
      </c>
      <c r="L69" s="7" t="inlineStr">
        <is>
          <t>Critical</t>
        </is>
      </c>
      <c r="M69" s="7" t="inlineStr">
        <is>
          <t>To Order</t>
        </is>
      </c>
    </row>
    <row r="70" ht="18" customHeight="1">
      <c r="A70" s="7" t="n">
        <v>50</v>
      </c>
      <c r="B70" s="7" t="inlineStr">
        <is>
          <t>Silicone Wire 28AWG Ribbon</t>
        </is>
      </c>
      <c r="C70" s="7" t="inlineStr">
        <is>
          <t>Multicore ribbon for signal runs, silicone jacketed</t>
        </is>
      </c>
      <c r="D70" s="7" t="inlineStr">
        <is>
          <t>Wire &amp; Cable</t>
        </is>
      </c>
      <c r="E70" s="7" t="inlineStr">
        <is>
          <t>Signal Wiring</t>
        </is>
      </c>
      <c r="F70" s="7" t="inlineStr">
        <is>
          <t>28AWG silicone multicore ribbon, 10m</t>
        </is>
      </c>
      <c r="G70" s="7" t="n">
        <v>1</v>
      </c>
      <c r="H70" s="7" t="inlineStr">
        <is>
          <t>m</t>
        </is>
      </c>
      <c r="I70" s="8" t="n">
        <v>16</v>
      </c>
      <c r="J70" s="8">
        <f>IF(G70="","",G70*I70)</f>
        <v/>
      </c>
      <c r="K70" s="7" t="inlineStr">
        <is>
          <t>Adafruit / Amazon</t>
        </is>
      </c>
      <c r="L70" s="7" t="inlineStr">
        <is>
          <t>Critical</t>
        </is>
      </c>
      <c r="M70" s="7" t="inlineStr">
        <is>
          <t>To Order</t>
        </is>
      </c>
    </row>
    <row r="71" ht="18" customHeight="1">
      <c r="A71" s="7" t="n">
        <v>51</v>
      </c>
      <c r="B71" s="7" t="inlineStr">
        <is>
          <t>Silicone Wire 24AWG Red</t>
        </is>
      </c>
      <c r="C71" s="7" t="inlineStr">
        <is>
          <t>Power run wiring, red, 10m</t>
        </is>
      </c>
      <c r="D71" s="7" t="inlineStr">
        <is>
          <t>Wire &amp; Cable</t>
        </is>
      </c>
      <c r="E71" s="7" t="inlineStr">
        <is>
          <t>Power Wiring</t>
        </is>
      </c>
      <c r="F71" s="7" t="inlineStr">
        <is>
          <t>24AWG silicone, red, 10m</t>
        </is>
      </c>
      <c r="G71" s="7" t="n">
        <v>1</v>
      </c>
      <c r="H71" s="7" t="inlineStr">
        <is>
          <t>reel</t>
        </is>
      </c>
      <c r="I71" s="8" t="n">
        <v>10</v>
      </c>
      <c r="J71" s="8">
        <f>IF(G71="","",G71*I71)</f>
        <v/>
      </c>
      <c r="K71" s="7" t="inlineStr">
        <is>
          <t>Adafruit / Amazon</t>
        </is>
      </c>
      <c r="L71" s="7" t="inlineStr">
        <is>
          <t>Critical</t>
        </is>
      </c>
      <c r="M71" s="7" t="inlineStr">
        <is>
          <t>To Order</t>
        </is>
      </c>
    </row>
    <row r="72" ht="18" customHeight="1">
      <c r="A72" s="7" t="n">
        <v>52</v>
      </c>
      <c r="B72" s="7" t="inlineStr">
        <is>
          <t>Silicone Wire 24AWG Black</t>
        </is>
      </c>
      <c r="C72" s="7" t="inlineStr">
        <is>
          <t>Power run wiring, black, 10m</t>
        </is>
      </c>
      <c r="D72" s="7" t="inlineStr">
        <is>
          <t>Wire &amp; Cable</t>
        </is>
      </c>
      <c r="E72" s="7" t="inlineStr">
        <is>
          <t>Power Wiring</t>
        </is>
      </c>
      <c r="F72" s="7" t="inlineStr">
        <is>
          <t>24AWG silicone, black, 10m</t>
        </is>
      </c>
      <c r="G72" s="7" t="n">
        <v>1</v>
      </c>
      <c r="H72" s="7" t="inlineStr">
        <is>
          <t>reel</t>
        </is>
      </c>
      <c r="I72" s="8" t="n">
        <v>10</v>
      </c>
      <c r="J72" s="8">
        <f>IF(G72="","",G72*I72)</f>
        <v/>
      </c>
      <c r="K72" s="7" t="inlineStr">
        <is>
          <t>Adafruit / Amazon</t>
        </is>
      </c>
      <c r="L72" s="7" t="inlineStr">
        <is>
          <t>Critical</t>
        </is>
      </c>
      <c r="M72" s="7" t="inlineStr">
        <is>
          <t>To Order</t>
        </is>
      </c>
    </row>
    <row r="73" ht="18" customHeight="1">
      <c r="A73" s="7" t="n">
        <v>53</v>
      </c>
      <c r="B73" s="7" t="inlineStr">
        <is>
          <t>Heat Shrink Tubing Assortment</t>
        </is>
      </c>
      <c r="C73" s="7" t="inlineStr">
        <is>
          <t>2mm/3mm/5mm/8mm sizes for wire terminations</t>
        </is>
      </c>
      <c r="D73" s="7" t="inlineStr">
        <is>
          <t>Wire &amp; Cable</t>
        </is>
      </c>
      <c r="E73" s="7" t="inlineStr">
        <is>
          <t>Cable Mgmt</t>
        </is>
      </c>
      <c r="F73" s="7" t="inlineStr">
        <is>
          <t>2/3/5/8mm assortment kit</t>
        </is>
      </c>
      <c r="G73" s="7" t="n">
        <v>1</v>
      </c>
      <c r="H73" s="7" t="inlineStr">
        <is>
          <t>kit</t>
        </is>
      </c>
      <c r="I73" s="8" t="n">
        <v>12</v>
      </c>
      <c r="J73" s="8">
        <f>IF(G73="","",G73*I73)</f>
        <v/>
      </c>
      <c r="K73" s="7" t="inlineStr">
        <is>
          <t>Amazon</t>
        </is>
      </c>
      <c r="L73" s="7" t="inlineStr">
        <is>
          <t>Critical</t>
        </is>
      </c>
      <c r="M73" s="7" t="inlineStr">
        <is>
          <t>To Order</t>
        </is>
      </c>
    </row>
    <row r="74" ht="18" customHeight="1">
      <c r="A74" s="7" t="n">
        <v>54</v>
      </c>
      <c r="B74" s="7" t="inlineStr">
        <is>
          <t>Cable Spiral Wrap 6mm</t>
        </is>
      </c>
      <c r="C74" s="7" t="inlineStr">
        <is>
          <t>Harness management spiral wrap, 5m</t>
        </is>
      </c>
      <c r="D74" s="7" t="inlineStr">
        <is>
          <t>Wire &amp; Cable</t>
        </is>
      </c>
      <c r="E74" s="7" t="inlineStr">
        <is>
          <t>Cable Mgmt</t>
        </is>
      </c>
      <c r="F74" s="7" t="inlineStr">
        <is>
          <t>6mm dia, 5m</t>
        </is>
      </c>
      <c r="G74" s="7" t="n">
        <v>1</v>
      </c>
      <c r="H74" s="7" t="inlineStr">
        <is>
          <t>reel</t>
        </is>
      </c>
      <c r="I74" s="8" t="n">
        <v>8</v>
      </c>
      <c r="J74" s="8">
        <f>IF(G74="","",G74*I74)</f>
        <v/>
      </c>
      <c r="K74" s="7" t="inlineStr">
        <is>
          <t>Amazon</t>
        </is>
      </c>
      <c r="L74" s="7" t="inlineStr">
        <is>
          <t>Recommended</t>
        </is>
      </c>
      <c r="M74" s="7" t="inlineStr">
        <is>
          <t>To Order</t>
        </is>
      </c>
    </row>
    <row r="75" ht="18" customHeight="1">
      <c r="A75" s="7" t="n">
        <v>55</v>
      </c>
      <c r="B75" s="7" t="inlineStr">
        <is>
          <t>Zip Ties Assortment Small/Medium</t>
        </is>
      </c>
      <c r="C75" s="7" t="inlineStr">
        <is>
          <t>Cable bundling and routing, 200pc assortment</t>
        </is>
      </c>
      <c r="D75" s="7" t="inlineStr">
        <is>
          <t>Wire &amp; Cable</t>
        </is>
      </c>
      <c r="E75" s="7" t="inlineStr">
        <is>
          <t>Cable Mgmt</t>
        </is>
      </c>
      <c r="F75" s="7" t="inlineStr">
        <is>
          <t>Small/medium, 200pc</t>
        </is>
      </c>
      <c r="G75" s="7" t="n">
        <v>1</v>
      </c>
      <c r="H75" s="7" t="inlineStr">
        <is>
          <t>pack</t>
        </is>
      </c>
      <c r="I75" s="8" t="n">
        <v>8</v>
      </c>
      <c r="J75" s="8">
        <f>IF(G75="","",G75*I75)</f>
        <v/>
      </c>
      <c r="K75" s="7" t="inlineStr">
        <is>
          <t>Amazon / local hardware</t>
        </is>
      </c>
      <c r="L75" s="7" t="inlineStr">
        <is>
          <t>Recommended</t>
        </is>
      </c>
      <c r="M75" s="7" t="inlineStr">
        <is>
          <t>In Stock</t>
        </is>
      </c>
    </row>
    <row r="76">
      <c r="A76" s="9" t="inlineStr">
        <is>
          <t>SUBTOTAL — Wire, Cable &amp; Tendons</t>
        </is>
      </c>
      <c r="B76" s="15" t="n"/>
      <c r="C76" s="15" t="n"/>
      <c r="D76" s="15" t="n"/>
      <c r="E76" s="15" t="n"/>
      <c r="F76" s="16" t="n"/>
      <c r="G76" s="9" t="n"/>
      <c r="H76" s="9" t="n"/>
      <c r="I76" s="10" t="n"/>
      <c r="J76" s="11">
        <f>SUM(J68:J75)</f>
        <v/>
      </c>
      <c r="K76" s="9" t="n"/>
      <c r="L76" s="9" t="n"/>
      <c r="M76" s="9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8" t="n"/>
      <c r="J77" s="8" t="n"/>
      <c r="K77" s="7" t="n"/>
      <c r="L77" s="7" t="n"/>
      <c r="M77" s="7" t="n"/>
    </row>
    <row r="78" ht="22" customHeight="1">
      <c r="A78" s="12" t="inlineStr">
        <is>
          <t>SECTION 6 — ELECTRONICS: SENSORS</t>
        </is>
      </c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6" t="n"/>
    </row>
    <row r="79" ht="30" customHeight="1">
      <c r="A79" s="5" t="inlineStr">
        <is>
          <t>Item #</t>
        </is>
      </c>
      <c r="B79" s="5" t="inlineStr">
        <is>
          <t>Component Name</t>
        </is>
      </c>
      <c r="C79" s="5" t="inlineStr">
        <is>
          <t>Description / Notes</t>
        </is>
      </c>
      <c r="D79" s="5" t="inlineStr">
        <is>
          <t>Category</t>
        </is>
      </c>
      <c r="E79" s="5" t="inlineStr">
        <is>
          <t>Morphology / Assembly</t>
        </is>
      </c>
      <c r="F79" s="5" t="inlineStr">
        <is>
          <t>Material or Spec</t>
        </is>
      </c>
      <c r="G79" s="5" t="inlineStr">
        <is>
          <t>Qty</t>
        </is>
      </c>
      <c r="H79" s="5" t="inlineStr">
        <is>
          <t>Unit</t>
        </is>
      </c>
      <c r="I79" s="6" t="inlineStr">
        <is>
          <t>Unit Cost (CAD est.)</t>
        </is>
      </c>
      <c r="J79" s="6" t="inlineStr">
        <is>
          <t>Total Cost (CAD)</t>
        </is>
      </c>
      <c r="K79" s="5" t="inlineStr">
        <is>
          <t>Supplier / Source</t>
        </is>
      </c>
      <c r="L79" s="5" t="inlineStr">
        <is>
          <t>Priority</t>
        </is>
      </c>
      <c r="M79" s="5" t="inlineStr">
        <is>
          <t>Status</t>
        </is>
      </c>
    </row>
    <row r="80" ht="18" customHeight="1">
      <c r="A80" s="7" t="n">
        <v>56</v>
      </c>
      <c r="B80" s="7" t="inlineStr">
        <is>
          <t>BME280 Sensor Breakout</t>
        </is>
      </c>
      <c r="C80" s="7" t="inlineStr">
        <is>
          <t>Temp / humidity / pressure sensor breakout board</t>
        </is>
      </c>
      <c r="D80" s="7" t="inlineStr">
        <is>
          <t>Electronics – Sensors</t>
        </is>
      </c>
      <c r="E80" s="7" t="inlineStr">
        <is>
          <t>Pollen Pods / Perch Pods</t>
        </is>
      </c>
      <c r="F80" s="7" t="inlineStr">
        <is>
          <t>BME280 I2C/SPI breakout</t>
        </is>
      </c>
      <c r="G80" s="7" t="n">
        <v>8</v>
      </c>
      <c r="H80" s="7" t="inlineStr">
        <is>
          <t>ea</t>
        </is>
      </c>
      <c r="I80" s="8" t="n">
        <v>12</v>
      </c>
      <c r="J80" s="8">
        <f>IF(G80="","",G80*I80)</f>
        <v/>
      </c>
      <c r="K80" s="7" t="inlineStr">
        <is>
          <t>Adafruit / Sparkfun / Amazon</t>
        </is>
      </c>
      <c r="L80" s="7" t="inlineStr">
        <is>
          <t>Critical</t>
        </is>
      </c>
      <c r="M80" s="7" t="inlineStr">
        <is>
          <t>To Order</t>
        </is>
      </c>
    </row>
    <row r="81" ht="18" customHeight="1">
      <c r="A81" s="7" t="n">
        <v>57</v>
      </c>
      <c r="B81" s="7" t="inlineStr">
        <is>
          <t>TSL2591 Light Sensor Breakout</t>
        </is>
      </c>
      <c r="C81" s="7" t="inlineStr">
        <is>
          <t>High-dynamic-range lux/light sensor breakout</t>
        </is>
      </c>
      <c r="D81" s="7" t="inlineStr">
        <is>
          <t>Electronics – Sensors</t>
        </is>
      </c>
      <c r="E81" s="7" t="inlineStr">
        <is>
          <t>Pollen Pods</t>
        </is>
      </c>
      <c r="F81" s="7" t="inlineStr">
        <is>
          <t>TSL2591 I2C breakout</t>
        </is>
      </c>
      <c r="G81" s="7" t="n">
        <v>6</v>
      </c>
      <c r="H81" s="7" t="inlineStr">
        <is>
          <t>ea</t>
        </is>
      </c>
      <c r="I81" s="8" t="n">
        <v>14</v>
      </c>
      <c r="J81" s="8">
        <f>IF(G81="","",G81*I81)</f>
        <v/>
      </c>
      <c r="K81" s="7" t="inlineStr">
        <is>
          <t>Adafruit / Amazon</t>
        </is>
      </c>
      <c r="L81" s="7" t="inlineStr">
        <is>
          <t>Critical</t>
        </is>
      </c>
      <c r="M81" s="7" t="inlineStr">
        <is>
          <t>To Order</t>
        </is>
      </c>
    </row>
    <row r="82" ht="18" customHeight="1">
      <c r="A82" s="7" t="n">
        <v>58</v>
      </c>
      <c r="B82" s="7" t="inlineStr">
        <is>
          <t>APDS-9960 Gesture/Proximity/Color</t>
        </is>
      </c>
      <c r="C82" s="7" t="inlineStr">
        <is>
          <t>Gesture, proximity, and color sensing breakout</t>
        </is>
      </c>
      <c r="D82" s="7" t="inlineStr">
        <is>
          <t>Electronics – Sensors</t>
        </is>
      </c>
      <c r="E82" s="7" t="inlineStr">
        <is>
          <t>Perch Pods / Garland</t>
        </is>
      </c>
      <c r="F82" s="7" t="inlineStr">
        <is>
          <t>APDS-9960 I2C breakout</t>
        </is>
      </c>
      <c r="G82" s="7" t="n">
        <v>4</v>
      </c>
      <c r="H82" s="7" t="inlineStr">
        <is>
          <t>ea</t>
        </is>
      </c>
      <c r="I82" s="8" t="n">
        <v>15</v>
      </c>
      <c r="J82" s="8">
        <f>IF(G82="","",G82*I82)</f>
        <v/>
      </c>
      <c r="K82" s="7" t="inlineStr">
        <is>
          <t>Adafruit / Sparkfun / Amazon</t>
        </is>
      </c>
      <c r="L82" s="7" t="inlineStr">
        <is>
          <t>Recommended</t>
        </is>
      </c>
      <c r="M82" s="7" t="inlineStr">
        <is>
          <t>To Order</t>
        </is>
      </c>
    </row>
    <row r="83" ht="18" customHeight="1">
      <c r="A83" s="7" t="n">
        <v>59</v>
      </c>
      <c r="B83" s="7" t="inlineStr">
        <is>
          <t>PIR Motion Sensor HC-SR501</t>
        </is>
      </c>
      <c r="C83" s="7" t="inlineStr">
        <is>
          <t>Passive infrared motion sensor for perch pods</t>
        </is>
      </c>
      <c r="D83" s="7" t="inlineStr">
        <is>
          <t>Electronics – Sensors</t>
        </is>
      </c>
      <c r="E83" s="7" t="inlineStr">
        <is>
          <t>Perch Pods</t>
        </is>
      </c>
      <c r="F83" s="7" t="inlineStr">
        <is>
          <t>HC-SR501 PIR module</t>
        </is>
      </c>
      <c r="G83" s="7" t="n">
        <v>4</v>
      </c>
      <c r="H83" s="7" t="inlineStr">
        <is>
          <t>ea</t>
        </is>
      </c>
      <c r="I83" s="8" t="n">
        <v>4.5</v>
      </c>
      <c r="J83" s="8">
        <f>IF(G83="","",G83*I83)</f>
        <v/>
      </c>
      <c r="K83" s="7" t="inlineStr">
        <is>
          <t>Amazon / Adafruit</t>
        </is>
      </c>
      <c r="L83" s="7" t="inlineStr">
        <is>
          <t>Critical</t>
        </is>
      </c>
      <c r="M83" s="7" t="inlineStr">
        <is>
          <t>To Order</t>
        </is>
      </c>
    </row>
    <row r="84" ht="18" customHeight="1">
      <c r="A84" s="7" t="n">
        <v>60</v>
      </c>
      <c r="B84" s="7" t="inlineStr">
        <is>
          <t>Electret Mic Amp Breakout</t>
        </is>
      </c>
      <c r="C84" s="7" t="inlineStr">
        <is>
          <t>MAX4466 or MAX9814 microphone amplifier breakout</t>
        </is>
      </c>
      <c r="D84" s="7" t="inlineStr">
        <is>
          <t>Electronics – Sensors</t>
        </is>
      </c>
      <c r="E84" s="7" t="inlineStr">
        <is>
          <t>Pollen Pods / Reef</t>
        </is>
      </c>
      <c r="F84" s="7" t="inlineStr">
        <is>
          <t>MAX4466 or MAX9814 breakout</t>
        </is>
      </c>
      <c r="G84" s="7" t="n">
        <v>4</v>
      </c>
      <c r="H84" s="7" t="inlineStr">
        <is>
          <t>ea</t>
        </is>
      </c>
      <c r="I84" s="8" t="n">
        <v>9</v>
      </c>
      <c r="J84" s="8">
        <f>IF(G84="","",G84*I84)</f>
        <v/>
      </c>
      <c r="K84" s="7" t="inlineStr">
        <is>
          <t>Adafruit / Amazon</t>
        </is>
      </c>
      <c r="L84" s="7" t="inlineStr">
        <is>
          <t>Recommended</t>
        </is>
      </c>
      <c r="M84" s="7" t="inlineStr">
        <is>
          <t>To Order</t>
        </is>
      </c>
    </row>
    <row r="85" ht="18" customHeight="1">
      <c r="A85" s="7" t="n">
        <v>61</v>
      </c>
      <c r="B85" s="7" t="inlineStr">
        <is>
          <t>Capacitive Soil/Touch Sensor</t>
        </is>
      </c>
      <c r="C85" s="7" t="inlineStr">
        <is>
          <t>Capacitive sensor for pollen pod interactivity</t>
        </is>
      </c>
      <c r="D85" s="7" t="inlineStr">
        <is>
          <t>Electronics – Sensors</t>
        </is>
      </c>
      <c r="E85" s="7" t="inlineStr">
        <is>
          <t>Pollen Pods</t>
        </is>
      </c>
      <c r="F85" s="7" t="inlineStr">
        <is>
          <t>Capacitive soil/touch module</t>
        </is>
      </c>
      <c r="G85" s="7" t="n">
        <v>6</v>
      </c>
      <c r="H85" s="7" t="inlineStr">
        <is>
          <t>ea</t>
        </is>
      </c>
      <c r="I85" s="8" t="n">
        <v>5</v>
      </c>
      <c r="J85" s="8">
        <f>IF(G85="","",G85*I85)</f>
        <v/>
      </c>
      <c r="K85" s="7" t="inlineStr">
        <is>
          <t>Adafruit / Amazon</t>
        </is>
      </c>
      <c r="L85" s="7" t="inlineStr">
        <is>
          <t>Recommended</t>
        </is>
      </c>
      <c r="M85" s="7" t="inlineStr">
        <is>
          <t>To Order</t>
        </is>
      </c>
    </row>
    <row r="86" ht="18" customHeight="1">
      <c r="A86" s="7" t="n">
        <v>62</v>
      </c>
      <c r="B86" s="7" t="inlineStr">
        <is>
          <t>Piezo Vibration Sensor Disc 27mm</t>
        </is>
      </c>
      <c r="C86" s="7" t="inlineStr">
        <is>
          <t>27mm piezo disc for garland link resonance sensing</t>
        </is>
      </c>
      <c r="D86" s="7" t="inlineStr">
        <is>
          <t>Electronics – Sensors</t>
        </is>
      </c>
      <c r="E86" s="7" t="inlineStr">
        <is>
          <t>Garland Links</t>
        </is>
      </c>
      <c r="F86" s="7" t="inlineStr">
        <is>
          <t>27mm piezo disc</t>
        </is>
      </c>
      <c r="G86" s="7" t="n">
        <v>12</v>
      </c>
      <c r="H86" s="7" t="inlineStr">
        <is>
          <t>ea</t>
        </is>
      </c>
      <c r="I86" s="8" t="n">
        <v>2.5</v>
      </c>
      <c r="J86" s="8">
        <f>IF(G86="","",G86*I86)</f>
        <v/>
      </c>
      <c r="K86" s="7" t="inlineStr">
        <is>
          <t>Adafruit / Digikey / Amazon</t>
        </is>
      </c>
      <c r="L86" s="7" t="inlineStr">
        <is>
          <t>Optional</t>
        </is>
      </c>
      <c r="M86" s="7" t="inlineStr">
        <is>
          <t>To Order</t>
        </is>
      </c>
    </row>
    <row r="87">
      <c r="A87" s="9" t="inlineStr">
        <is>
          <t>SUBTOTAL — Electronics: Sensors</t>
        </is>
      </c>
      <c r="B87" s="15" t="n"/>
      <c r="C87" s="15" t="n"/>
      <c r="D87" s="15" t="n"/>
      <c r="E87" s="15" t="n"/>
      <c r="F87" s="16" t="n"/>
      <c r="G87" s="9" t="n"/>
      <c r="H87" s="9" t="n"/>
      <c r="I87" s="10" t="n"/>
      <c r="J87" s="11">
        <f>SUM(J80:J86)</f>
        <v/>
      </c>
      <c r="K87" s="9" t="n"/>
      <c r="L87" s="9" t="n"/>
      <c r="M87" s="9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8" t="n"/>
      <c r="J88" s="8" t="n"/>
      <c r="K88" s="7" t="n"/>
      <c r="L88" s="7" t="n"/>
      <c r="M88" s="7" t="n"/>
    </row>
    <row r="89" ht="22" customHeight="1">
      <c r="A89" s="12" t="inlineStr">
        <is>
          <t>SECTION 7 — ELECTRONICS: CONTROLLERS &amp; COMPUTING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6" t="n"/>
    </row>
    <row r="90" ht="30" customHeight="1">
      <c r="A90" s="5" t="inlineStr">
        <is>
          <t>Item #</t>
        </is>
      </c>
      <c r="B90" s="5" t="inlineStr">
        <is>
          <t>Component Name</t>
        </is>
      </c>
      <c r="C90" s="5" t="inlineStr">
        <is>
          <t>Description / Notes</t>
        </is>
      </c>
      <c r="D90" s="5" t="inlineStr">
        <is>
          <t>Category</t>
        </is>
      </c>
      <c r="E90" s="5" t="inlineStr">
        <is>
          <t>Morphology / Assembly</t>
        </is>
      </c>
      <c r="F90" s="5" t="inlineStr">
        <is>
          <t>Material or Spec</t>
        </is>
      </c>
      <c r="G90" s="5" t="inlineStr">
        <is>
          <t>Qty</t>
        </is>
      </c>
      <c r="H90" s="5" t="inlineStr">
        <is>
          <t>Unit</t>
        </is>
      </c>
      <c r="I90" s="6" t="inlineStr">
        <is>
          <t>Unit Cost (CAD est.)</t>
        </is>
      </c>
      <c r="J90" s="6" t="inlineStr">
        <is>
          <t>Total Cost (CAD)</t>
        </is>
      </c>
      <c r="K90" s="5" t="inlineStr">
        <is>
          <t>Supplier / Source</t>
        </is>
      </c>
      <c r="L90" s="5" t="inlineStr">
        <is>
          <t>Priority</t>
        </is>
      </c>
      <c r="M90" s="5" t="inlineStr">
        <is>
          <t>Status</t>
        </is>
      </c>
    </row>
    <row r="91" ht="18" customHeight="1">
      <c r="A91" s="7" t="n">
        <v>63</v>
      </c>
      <c r="B91" s="7" t="inlineStr">
        <is>
          <t>Raspberry Pi Pico W</t>
        </is>
      </c>
      <c r="C91" s="7" t="inlineStr">
        <is>
          <t>WiFi-enabled MCU for distributed sensor nodes</t>
        </is>
      </c>
      <c r="D91" s="7" t="inlineStr">
        <is>
          <t>Electronics – Controllers</t>
        </is>
      </c>
      <c r="E91" s="7" t="inlineStr">
        <is>
          <t>Sensor Nodes</t>
        </is>
      </c>
      <c r="F91" s="7" t="inlineStr">
        <is>
          <t>RP2040 + WiFi, Pico W</t>
        </is>
      </c>
      <c r="G91" s="7" t="n">
        <v>6</v>
      </c>
      <c r="H91" s="7" t="inlineStr">
        <is>
          <t>ea</t>
        </is>
      </c>
      <c r="I91" s="8" t="n">
        <v>12</v>
      </c>
      <c r="J91" s="8">
        <f>IF(G91="","",G91*I91)</f>
        <v/>
      </c>
      <c r="K91" s="7" t="inlineStr">
        <is>
          <t>Adafruit / Digikey / PiShop.ca</t>
        </is>
      </c>
      <c r="L91" s="7" t="inlineStr">
        <is>
          <t>Critical</t>
        </is>
      </c>
      <c r="M91" s="7" t="inlineStr">
        <is>
          <t>To Order</t>
        </is>
      </c>
    </row>
    <row r="92" ht="18" customHeight="1">
      <c r="A92" s="7" t="n">
        <v>64</v>
      </c>
      <c r="B92" s="7" t="inlineStr">
        <is>
          <t>Raspberry Pi 4B 4GB</t>
        </is>
      </c>
      <c r="C92" s="7" t="inlineStr">
        <is>
          <t>Central hub and processing node</t>
        </is>
      </c>
      <c r="D92" s="7" t="inlineStr">
        <is>
          <t>Electronics – Controllers</t>
        </is>
      </c>
      <c r="E92" s="7" t="inlineStr">
        <is>
          <t>Central Hub</t>
        </is>
      </c>
      <c r="F92" s="7" t="inlineStr">
        <is>
          <t>RPi 4B 4GB RAM</t>
        </is>
      </c>
      <c r="G92" s="7" t="n">
        <v>1</v>
      </c>
      <c r="H92" s="7" t="inlineStr">
        <is>
          <t>ea</t>
        </is>
      </c>
      <c r="I92" s="8" t="n">
        <v>90</v>
      </c>
      <c r="J92" s="8">
        <f>IF(G92="","",G92*I92)</f>
        <v/>
      </c>
      <c r="K92" s="7" t="inlineStr">
        <is>
          <t>PiShop.ca / Canakit</t>
        </is>
      </c>
      <c r="L92" s="7" t="inlineStr">
        <is>
          <t>Critical</t>
        </is>
      </c>
      <c r="M92" s="7" t="inlineStr">
        <is>
          <t>To Order</t>
        </is>
      </c>
    </row>
    <row r="93" ht="18" customHeight="1">
      <c r="A93" s="7" t="n">
        <v>65</v>
      </c>
      <c r="B93" s="7" t="inlineStr">
        <is>
          <t>Adafruit QT Py RP2040</t>
        </is>
      </c>
      <c r="C93" s="7" t="inlineStr">
        <is>
          <t>Compact node controller for tight spaces</t>
        </is>
      </c>
      <c r="D93" s="7" t="inlineStr">
        <is>
          <t>Electronics – Controllers</t>
        </is>
      </c>
      <c r="E93" s="7" t="inlineStr">
        <is>
          <t>Compact Nodes</t>
        </is>
      </c>
      <c r="F93" s="7" t="inlineStr">
        <is>
          <t>QT Py RP2040</t>
        </is>
      </c>
      <c r="G93" s="7" t="n">
        <v>4</v>
      </c>
      <c r="H93" s="7" t="inlineStr">
        <is>
          <t>ea</t>
        </is>
      </c>
      <c r="I93" s="8" t="n">
        <v>14</v>
      </c>
      <c r="J93" s="8">
        <f>IF(G93="","",G93*I93)</f>
        <v/>
      </c>
      <c r="K93" s="7" t="inlineStr">
        <is>
          <t>Adafruit / Digikey</t>
        </is>
      </c>
      <c r="L93" s="7" t="inlineStr">
        <is>
          <t>Recommended</t>
        </is>
      </c>
      <c r="M93" s="7" t="inlineStr">
        <is>
          <t>To Order</t>
        </is>
      </c>
    </row>
    <row r="94" ht="18" customHeight="1">
      <c r="A94" s="7" t="n">
        <v>66</v>
      </c>
      <c r="B94" s="7" t="inlineStr">
        <is>
          <t>FeatherWing Proto Board</t>
        </is>
      </c>
      <c r="C94" s="7" t="inlineStr">
        <is>
          <t>Custom or Adafruit proto featherwing for node wiring</t>
        </is>
      </c>
      <c r="D94" s="7" t="inlineStr">
        <is>
          <t>Electronics – Controllers</t>
        </is>
      </c>
      <c r="E94" s="7" t="inlineStr">
        <is>
          <t>Node Wiring</t>
        </is>
      </c>
      <c r="F94" s="7" t="inlineStr">
        <is>
          <t>Adafruit FeatherWing Proto</t>
        </is>
      </c>
      <c r="G94" s="7" t="n">
        <v>6</v>
      </c>
      <c r="H94" s="7" t="inlineStr">
        <is>
          <t>ea</t>
        </is>
      </c>
      <c r="I94" s="8" t="n">
        <v>8</v>
      </c>
      <c r="J94" s="8">
        <f>IF(G94="","",G94*I94)</f>
        <v/>
      </c>
      <c r="K94" s="7" t="inlineStr">
        <is>
          <t>Adafruit</t>
        </is>
      </c>
      <c r="L94" s="7" t="inlineStr">
        <is>
          <t>Recommended</t>
        </is>
      </c>
      <c r="M94" s="7" t="inlineStr">
        <is>
          <t>To Order</t>
        </is>
      </c>
    </row>
    <row r="95" ht="18" customHeight="1">
      <c r="A95" s="7" t="n">
        <v>67</v>
      </c>
      <c r="B95" s="7" t="inlineStr">
        <is>
          <t>MicroSD Card 32GB</t>
        </is>
      </c>
      <c r="C95" s="7" t="inlineStr">
        <is>
          <t>Data logging for Pi hub</t>
        </is>
      </c>
      <c r="D95" s="7" t="inlineStr">
        <is>
          <t>Electronics – Controllers</t>
        </is>
      </c>
      <c r="E95" s="7" t="inlineStr">
        <is>
          <t>Central Hub</t>
        </is>
      </c>
      <c r="F95" s="7" t="inlineStr">
        <is>
          <t>32GB MicroSD Class 10</t>
        </is>
      </c>
      <c r="G95" s="7" t="n">
        <v>2</v>
      </c>
      <c r="H95" s="7" t="inlineStr">
        <is>
          <t>ea</t>
        </is>
      </c>
      <c r="I95" s="8" t="n">
        <v>10</v>
      </c>
      <c r="J95" s="8">
        <f>IF(G95="","",G95*I95)</f>
        <v/>
      </c>
      <c r="K95" s="7" t="inlineStr">
        <is>
          <t>Amazon / BestBuy</t>
        </is>
      </c>
      <c r="L95" s="7" t="inlineStr">
        <is>
          <t>Recommended</t>
        </is>
      </c>
      <c r="M95" s="7" t="inlineStr">
        <is>
          <t>To Order</t>
        </is>
      </c>
    </row>
    <row r="96" ht="18" customHeight="1">
      <c r="A96" s="7" t="n">
        <v>68</v>
      </c>
      <c r="B96" s="7" t="inlineStr">
        <is>
          <t>USB-C PD Board 5V 3A</t>
        </is>
      </c>
      <c r="C96" s="7" t="inlineStr">
        <is>
          <t>Per-node USB-C power delivery board</t>
        </is>
      </c>
      <c r="D96" s="7" t="inlineStr">
        <is>
          <t>Electronics – Controllers</t>
        </is>
      </c>
      <c r="E96" s="7" t="inlineStr">
        <is>
          <t>Power Interface</t>
        </is>
      </c>
      <c r="F96" s="7" t="inlineStr">
        <is>
          <t>5V/3A USB-C PD board</t>
        </is>
      </c>
      <c r="G96" s="7" t="n">
        <v>6</v>
      </c>
      <c r="H96" s="7" t="inlineStr">
        <is>
          <t>ea</t>
        </is>
      </c>
      <c r="I96" s="8" t="n">
        <v>8</v>
      </c>
      <c r="J96" s="8">
        <f>IF(G96="","",G96*I96)</f>
        <v/>
      </c>
      <c r="K96" s="7" t="inlineStr">
        <is>
          <t>Adafruit / Amazon</t>
        </is>
      </c>
      <c r="L96" s="7" t="inlineStr">
        <is>
          <t>Critical</t>
        </is>
      </c>
      <c r="M96" s="7" t="inlineStr">
        <is>
          <t>To Order</t>
        </is>
      </c>
    </row>
    <row r="97">
      <c r="A97" s="9" t="inlineStr">
        <is>
          <t>SUBTOTAL — Electronics: Controllers &amp; Computing</t>
        </is>
      </c>
      <c r="B97" s="15" t="n"/>
      <c r="C97" s="15" t="n"/>
      <c r="D97" s="15" t="n"/>
      <c r="E97" s="15" t="n"/>
      <c r="F97" s="16" t="n"/>
      <c r="G97" s="9" t="n"/>
      <c r="H97" s="9" t="n"/>
      <c r="I97" s="10" t="n"/>
      <c r="J97" s="11">
        <f>SUM(J91:J96)</f>
        <v/>
      </c>
      <c r="K97" s="9" t="n"/>
      <c r="L97" s="9" t="n"/>
      <c r="M97" s="9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8" t="n"/>
      <c r="J98" s="8" t="n"/>
      <c r="K98" s="7" t="n"/>
      <c r="L98" s="7" t="n"/>
      <c r="M98" s="7" t="n"/>
    </row>
    <row r="99" ht="22" customHeight="1">
      <c r="A99" s="12" t="inlineStr">
        <is>
          <t>SECTION 8 — ELECTRONICS: POWER</t>
        </is>
      </c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6" t="n"/>
    </row>
    <row r="100" ht="30" customHeight="1">
      <c r="A100" s="5" t="inlineStr">
        <is>
          <t>Item #</t>
        </is>
      </c>
      <c r="B100" s="5" t="inlineStr">
        <is>
          <t>Component Name</t>
        </is>
      </c>
      <c r="C100" s="5" t="inlineStr">
        <is>
          <t>Description / Notes</t>
        </is>
      </c>
      <c r="D100" s="5" t="inlineStr">
        <is>
          <t>Category</t>
        </is>
      </c>
      <c r="E100" s="5" t="inlineStr">
        <is>
          <t>Morphology / Assembly</t>
        </is>
      </c>
      <c r="F100" s="5" t="inlineStr">
        <is>
          <t>Material or Spec</t>
        </is>
      </c>
      <c r="G100" s="5" t="inlineStr">
        <is>
          <t>Qty</t>
        </is>
      </c>
      <c r="H100" s="5" t="inlineStr">
        <is>
          <t>Unit</t>
        </is>
      </c>
      <c r="I100" s="6" t="inlineStr">
        <is>
          <t>Unit Cost (CAD est.)</t>
        </is>
      </c>
      <c r="J100" s="6" t="inlineStr">
        <is>
          <t>Total Cost (CAD)</t>
        </is>
      </c>
      <c r="K100" s="5" t="inlineStr">
        <is>
          <t>Supplier / Source</t>
        </is>
      </c>
      <c r="L100" s="5" t="inlineStr">
        <is>
          <t>Priority</t>
        </is>
      </c>
      <c r="M100" s="5" t="inlineStr">
        <is>
          <t>Status</t>
        </is>
      </c>
    </row>
    <row r="101" ht="18" customHeight="1">
      <c r="A101" s="7" t="n">
        <v>69</v>
      </c>
      <c r="B101" s="7" t="inlineStr">
        <is>
          <t>5V 10A Switching Power Supply</t>
        </is>
      </c>
      <c r="C101" s="7" t="inlineStr">
        <is>
          <t>Central power supply, 50W, 5V</t>
        </is>
      </c>
      <c r="D101" s="7" t="inlineStr">
        <is>
          <t>Electronics – Power</t>
        </is>
      </c>
      <c r="E101" s="7" t="inlineStr">
        <is>
          <t>Central Power</t>
        </is>
      </c>
      <c r="F101" s="7" t="inlineStr">
        <is>
          <t>5V 10A AC-DC switching PSU</t>
        </is>
      </c>
      <c r="G101" s="7" t="n">
        <v>1</v>
      </c>
      <c r="H101" s="7" t="inlineStr">
        <is>
          <t>ea</t>
        </is>
      </c>
      <c r="I101" s="8" t="n">
        <v>35</v>
      </c>
      <c r="J101" s="8">
        <f>IF(G101="","",G101*I101)</f>
        <v/>
      </c>
      <c r="K101" s="7" t="inlineStr">
        <is>
          <t>Amazon / Digikey</t>
        </is>
      </c>
      <c r="L101" s="7" t="inlineStr">
        <is>
          <t>Critical</t>
        </is>
      </c>
      <c r="M101" s="7" t="inlineStr">
        <is>
          <t>To Order</t>
        </is>
      </c>
    </row>
    <row r="102" ht="18" customHeight="1">
      <c r="A102" s="7" t="n">
        <v>70</v>
      </c>
      <c r="B102" s="7" t="inlineStr">
        <is>
          <t>USB Power Hub 7-Port</t>
        </is>
      </c>
      <c r="C102" s="7" t="inlineStr">
        <is>
          <t>7-port USB hub with per-port switching for nodes</t>
        </is>
      </c>
      <c r="D102" s="7" t="inlineStr">
        <is>
          <t>Electronics – Power</t>
        </is>
      </c>
      <c r="E102" s="7" t="inlineStr">
        <is>
          <t>Node Power</t>
        </is>
      </c>
      <c r="F102" s="7" t="inlineStr">
        <is>
          <t>7-port USB hub, per-port switch</t>
        </is>
      </c>
      <c r="G102" s="7" t="n">
        <v>1</v>
      </c>
      <c r="H102" s="7" t="inlineStr">
        <is>
          <t>ea</t>
        </is>
      </c>
      <c r="I102" s="8" t="n">
        <v>28</v>
      </c>
      <c r="J102" s="8">
        <f>IF(G102="","",G102*I102)</f>
        <v/>
      </c>
      <c r="K102" s="7" t="inlineStr">
        <is>
          <t>Amazon</t>
        </is>
      </c>
      <c r="L102" s="7" t="inlineStr">
        <is>
          <t>Critical</t>
        </is>
      </c>
      <c r="M102" s="7" t="inlineStr">
        <is>
          <t>To Order</t>
        </is>
      </c>
    </row>
    <row r="103" ht="18" customHeight="1">
      <c r="A103" s="7" t="n">
        <v>71</v>
      </c>
      <c r="B103" s="7" t="inlineStr">
        <is>
          <t>LiPo Battery 3.7V 2000mAh</t>
        </is>
      </c>
      <c r="C103" s="7" t="inlineStr">
        <is>
          <t>Portable/backup power for nodes</t>
        </is>
      </c>
      <c r="D103" s="7" t="inlineStr">
        <is>
          <t>Electronics – Power</t>
        </is>
      </c>
      <c r="E103" s="7" t="inlineStr">
        <is>
          <t>Backup Power</t>
        </is>
      </c>
      <c r="F103" s="7" t="inlineStr">
        <is>
          <t>3.7V 2000mAh LiPo</t>
        </is>
      </c>
      <c r="G103" s="7" t="n">
        <v>4</v>
      </c>
      <c r="H103" s="7" t="inlineStr">
        <is>
          <t>ea</t>
        </is>
      </c>
      <c r="I103" s="8" t="n">
        <v>14</v>
      </c>
      <c r="J103" s="8">
        <f>IF(G103="","",G103*I103)</f>
        <v/>
      </c>
      <c r="K103" s="7" t="inlineStr">
        <is>
          <t>Adafruit / Amazon</t>
        </is>
      </c>
      <c r="L103" s="7" t="inlineStr">
        <is>
          <t>Recommended</t>
        </is>
      </c>
      <c r="M103" s="7" t="inlineStr">
        <is>
          <t>To Order</t>
        </is>
      </c>
    </row>
    <row r="104" ht="18" customHeight="1">
      <c r="A104" s="7" t="n">
        <v>72</v>
      </c>
      <c r="B104" s="7" t="inlineStr">
        <is>
          <t>LiPo Charger/Protection TP4056</t>
        </is>
      </c>
      <c r="C104" s="7" t="inlineStr">
        <is>
          <t>Charging and protection board for LiPo cells</t>
        </is>
      </c>
      <c r="D104" s="7" t="inlineStr">
        <is>
          <t>Electronics – Power</t>
        </is>
      </c>
      <c r="E104" s="7" t="inlineStr">
        <is>
          <t>Backup Power</t>
        </is>
      </c>
      <c r="F104" s="7" t="inlineStr">
        <is>
          <t>TP4056 1A charger/protector</t>
        </is>
      </c>
      <c r="G104" s="7" t="n">
        <v>4</v>
      </c>
      <c r="H104" s="7" t="inlineStr">
        <is>
          <t>ea</t>
        </is>
      </c>
      <c r="I104" s="8" t="n">
        <v>2.5</v>
      </c>
      <c r="J104" s="8">
        <f>IF(G104="","",G104*I104)</f>
        <v/>
      </c>
      <c r="K104" s="7" t="inlineStr">
        <is>
          <t>Amazon</t>
        </is>
      </c>
      <c r="L104" s="7" t="inlineStr">
        <is>
          <t>Recommended</t>
        </is>
      </c>
      <c r="M104" s="7" t="inlineStr">
        <is>
          <t>To Order</t>
        </is>
      </c>
    </row>
    <row r="105" ht="18" customHeight="1">
      <c r="A105" s="7" t="n">
        <v>73</v>
      </c>
      <c r="B105" s="7" t="inlineStr">
        <is>
          <t>DC-DC Buck Converter 12V to 5V 3A</t>
        </is>
      </c>
      <c r="C105" s="7" t="inlineStr">
        <is>
          <t>Step-down converter for nodes on 12V rail</t>
        </is>
      </c>
      <c r="D105" s="7" t="inlineStr">
        <is>
          <t>Electronics – Power</t>
        </is>
      </c>
      <c r="E105" s="7" t="inlineStr">
        <is>
          <t>Node Power</t>
        </is>
      </c>
      <c r="F105" s="7" t="inlineStr">
        <is>
          <t>12V→5V 3A buck converter</t>
        </is>
      </c>
      <c r="G105" s="7" t="n">
        <v>4</v>
      </c>
      <c r="H105" s="7" t="inlineStr">
        <is>
          <t>ea</t>
        </is>
      </c>
      <c r="I105" s="8" t="n">
        <v>6</v>
      </c>
      <c r="J105" s="8">
        <f>IF(G105="","",G105*I105)</f>
        <v/>
      </c>
      <c r="K105" s="7" t="inlineStr">
        <is>
          <t>Amazon / Pololu</t>
        </is>
      </c>
      <c r="L105" s="7" t="inlineStr">
        <is>
          <t>Recommended</t>
        </is>
      </c>
      <c r="M105" s="7" t="inlineStr">
        <is>
          <t>To Order</t>
        </is>
      </c>
    </row>
    <row r="106" ht="18" customHeight="1">
      <c r="A106" s="7" t="n">
        <v>74</v>
      </c>
      <c r="B106" s="7" t="inlineStr">
        <is>
          <t>Power Distribution Bus Bar</t>
        </is>
      </c>
      <c r="C106" s="7" t="inlineStr">
        <is>
          <t>Terminal block bus bar for power distribution</t>
        </is>
      </c>
      <c r="D106" s="7" t="inlineStr">
        <is>
          <t>Electronics – Power</t>
        </is>
      </c>
      <c r="E106" s="7" t="inlineStr">
        <is>
          <t>Power Distrib.</t>
        </is>
      </c>
      <c r="F106" s="7" t="inlineStr">
        <is>
          <t>Bus bar / terminal block</t>
        </is>
      </c>
      <c r="G106" s="7" t="n">
        <v>2</v>
      </c>
      <c r="H106" s="7" t="inlineStr">
        <is>
          <t>ea</t>
        </is>
      </c>
      <c r="I106" s="8" t="n">
        <v>10</v>
      </c>
      <c r="J106" s="8">
        <f>IF(G106="","",G106*I106)</f>
        <v/>
      </c>
      <c r="K106" s="7" t="inlineStr">
        <is>
          <t>Amazon / Digikey</t>
        </is>
      </c>
      <c r="L106" s="7" t="inlineStr">
        <is>
          <t>Critical</t>
        </is>
      </c>
      <c r="M106" s="7" t="inlineStr">
        <is>
          <t>To Order</t>
        </is>
      </c>
    </row>
    <row r="107" ht="18" customHeight="1">
      <c r="A107" s="7" t="n">
        <v>75</v>
      </c>
      <c r="B107" s="7" t="inlineStr">
        <is>
          <t>Inline Fuse Holder with 2A Fuses</t>
        </is>
      </c>
      <c r="C107" s="7" t="inlineStr">
        <is>
          <t>Fused protection on individual branches</t>
        </is>
      </c>
      <c r="D107" s="7" t="inlineStr">
        <is>
          <t>Electronics – Power</t>
        </is>
      </c>
      <c r="E107" s="7" t="inlineStr">
        <is>
          <t>Power Distrib.</t>
        </is>
      </c>
      <c r="F107" s="7" t="inlineStr">
        <is>
          <t>Inline blade fuse holder, 2A</t>
        </is>
      </c>
      <c r="G107" s="7" t="n">
        <v>8</v>
      </c>
      <c r="H107" s="7" t="inlineStr">
        <is>
          <t>ea</t>
        </is>
      </c>
      <c r="I107" s="8" t="n">
        <v>1.5</v>
      </c>
      <c r="J107" s="8">
        <f>IF(G107="","",G107*I107)</f>
        <v/>
      </c>
      <c r="K107" s="7" t="inlineStr">
        <is>
          <t>Amazon / automotive supply</t>
        </is>
      </c>
      <c r="L107" s="7" t="inlineStr">
        <is>
          <t>Critical</t>
        </is>
      </c>
      <c r="M107" s="7" t="inlineStr">
        <is>
          <t>To Order</t>
        </is>
      </c>
    </row>
    <row r="108">
      <c r="A108" s="9" t="inlineStr">
        <is>
          <t>SUBTOTAL — Electronics: Power</t>
        </is>
      </c>
      <c r="B108" s="15" t="n"/>
      <c r="C108" s="15" t="n"/>
      <c r="D108" s="15" t="n"/>
      <c r="E108" s="15" t="n"/>
      <c r="F108" s="16" t="n"/>
      <c r="G108" s="9" t="n"/>
      <c r="H108" s="9" t="n"/>
      <c r="I108" s="10" t="n"/>
      <c r="J108" s="11">
        <f>SUM(J101:J107)</f>
        <v/>
      </c>
      <c r="K108" s="9" t="n"/>
      <c r="L108" s="9" t="n"/>
      <c r="M108" s="9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8" t="n"/>
      <c r="J109" s="8" t="n"/>
      <c r="K109" s="7" t="n"/>
      <c r="L109" s="7" t="n"/>
      <c r="M109" s="7" t="n"/>
    </row>
    <row r="110" ht="22" customHeight="1">
      <c r="A110" s="12" t="inlineStr">
        <is>
          <t>SECTION 9 — ELECTRONICS: LIGHTING &amp; EFFECTS</t>
        </is>
      </c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6" t="n"/>
    </row>
    <row r="111" ht="30" customHeight="1">
      <c r="A111" s="5" t="inlineStr">
        <is>
          <t>Item #</t>
        </is>
      </c>
      <c r="B111" s="5" t="inlineStr">
        <is>
          <t>Component Name</t>
        </is>
      </c>
      <c r="C111" s="5" t="inlineStr">
        <is>
          <t>Description / Notes</t>
        </is>
      </c>
      <c r="D111" s="5" t="inlineStr">
        <is>
          <t>Category</t>
        </is>
      </c>
      <c r="E111" s="5" t="inlineStr">
        <is>
          <t>Morphology / Assembly</t>
        </is>
      </c>
      <c r="F111" s="5" t="inlineStr">
        <is>
          <t>Material or Spec</t>
        </is>
      </c>
      <c r="G111" s="5" t="inlineStr">
        <is>
          <t>Qty</t>
        </is>
      </c>
      <c r="H111" s="5" t="inlineStr">
        <is>
          <t>Unit</t>
        </is>
      </c>
      <c r="I111" s="6" t="inlineStr">
        <is>
          <t>Unit Cost (CAD est.)</t>
        </is>
      </c>
      <c r="J111" s="6" t="inlineStr">
        <is>
          <t>Total Cost (CAD)</t>
        </is>
      </c>
      <c r="K111" s="5" t="inlineStr">
        <is>
          <t>Supplier / Source</t>
        </is>
      </c>
      <c r="L111" s="5" t="inlineStr">
        <is>
          <t>Priority</t>
        </is>
      </c>
      <c r="M111" s="5" t="inlineStr">
        <is>
          <t>Status</t>
        </is>
      </c>
    </row>
    <row r="112" ht="18" customHeight="1">
      <c r="A112" s="7" t="n">
        <v>76</v>
      </c>
      <c r="B112" s="7" t="inlineStr">
        <is>
          <t>WS2812B LED Strip 60LED/m 5m</t>
        </is>
      </c>
      <c r="C112" s="7" t="inlineStr">
        <is>
          <t>Addressable RGB LED strip, 5m reel, 60 LED/m</t>
        </is>
      </c>
      <c r="D112" s="7" t="inlineStr">
        <is>
          <t>Electronics – Lighting</t>
        </is>
      </c>
      <c r="E112" s="7" t="inlineStr">
        <is>
          <t>Garland / Reef</t>
        </is>
      </c>
      <c r="F112" s="7" t="inlineStr">
        <is>
          <t>WS2812B 60LED/m, 5m reel</t>
        </is>
      </c>
      <c r="G112" s="7" t="n">
        <v>1</v>
      </c>
      <c r="H112" s="7" t="inlineStr">
        <is>
          <t>reel</t>
        </is>
      </c>
      <c r="I112" s="8" t="n">
        <v>35</v>
      </c>
      <c r="J112" s="8">
        <f>IF(G112="","",G112*I112)</f>
        <v/>
      </c>
      <c r="K112" s="7" t="inlineStr">
        <is>
          <t>Amazon / Adafruit</t>
        </is>
      </c>
      <c r="L112" s="7" t="inlineStr">
        <is>
          <t>Critical</t>
        </is>
      </c>
      <c r="M112" s="7" t="inlineStr">
        <is>
          <t>To Order</t>
        </is>
      </c>
    </row>
    <row r="113" ht="18" customHeight="1">
      <c r="A113" s="7" t="n">
        <v>77</v>
      </c>
      <c r="B113" s="7" t="inlineStr">
        <is>
          <t>WS2812B LED Ring 16-pixel</t>
        </is>
      </c>
      <c r="C113" s="7" t="inlineStr">
        <is>
          <t>Addressable RGB ring for pollen pod accent lighting</t>
        </is>
      </c>
      <c r="D113" s="7" t="inlineStr">
        <is>
          <t>Electronics – Lighting</t>
        </is>
      </c>
      <c r="E113" s="7" t="inlineStr">
        <is>
          <t>Pollen Pods</t>
        </is>
      </c>
      <c r="F113" s="7" t="inlineStr">
        <is>
          <t>WS2812B 16-pixel ring</t>
        </is>
      </c>
      <c r="G113" s="7" t="n">
        <v>6</v>
      </c>
      <c r="H113" s="7" t="inlineStr">
        <is>
          <t>ea</t>
        </is>
      </c>
      <c r="I113" s="8" t="n">
        <v>8</v>
      </c>
      <c r="J113" s="8">
        <f>IF(G113="","",G113*I113)</f>
        <v/>
      </c>
      <c r="K113" s="7" t="inlineStr">
        <is>
          <t>Amazon / Adafruit</t>
        </is>
      </c>
      <c r="L113" s="7" t="inlineStr">
        <is>
          <t>Critical</t>
        </is>
      </c>
      <c r="M113" s="7" t="inlineStr">
        <is>
          <t>To Order</t>
        </is>
      </c>
    </row>
    <row r="114" ht="18" customHeight="1">
      <c r="A114" s="7" t="n">
        <v>78</v>
      </c>
      <c r="B114" s="7" t="inlineStr">
        <is>
          <t>NeoPixel Jewel 7-pixel</t>
        </is>
      </c>
      <c r="C114" s="7" t="inlineStr">
        <is>
          <t>7-pixel NeoPixel for perch pod canopy diffuser</t>
        </is>
      </c>
      <c r="D114" s="7" t="inlineStr">
        <is>
          <t>Electronics – Lighting</t>
        </is>
      </c>
      <c r="E114" s="7" t="inlineStr">
        <is>
          <t>Perch Pod Canopy</t>
        </is>
      </c>
      <c r="F114" s="7" t="inlineStr">
        <is>
          <t>Adafruit NeoPixel Jewel 7px</t>
        </is>
      </c>
      <c r="G114" s="7" t="n">
        <v>4</v>
      </c>
      <c r="H114" s="7" t="inlineStr">
        <is>
          <t>ea</t>
        </is>
      </c>
      <c r="I114" s="8" t="n">
        <v>9</v>
      </c>
      <c r="J114" s="8">
        <f>IF(G114="","",G114*I114)</f>
        <v/>
      </c>
      <c r="K114" s="7" t="inlineStr">
        <is>
          <t>Adafruit</t>
        </is>
      </c>
      <c r="L114" s="7" t="inlineStr">
        <is>
          <t>Critical</t>
        </is>
      </c>
      <c r="M114" s="7" t="inlineStr">
        <is>
          <t>To Order</t>
        </is>
      </c>
    </row>
    <row r="115" ht="18" customHeight="1">
      <c r="A115" s="7" t="n">
        <v>79</v>
      </c>
      <c r="B115" s="7" t="inlineStr">
        <is>
          <t>Diffuser Film / Light-Diffusing Acrylic</t>
        </is>
      </c>
      <c r="C115" s="7" t="inlineStr">
        <is>
          <t>A4 sheet for canopy optics diffusion</t>
        </is>
      </c>
      <c r="D115" s="7" t="inlineStr">
        <is>
          <t>Electronics – Lighting</t>
        </is>
      </c>
      <c r="E115" s="7" t="inlineStr">
        <is>
          <t>Perch Pod Canopy</t>
        </is>
      </c>
      <c r="F115" s="7" t="inlineStr">
        <is>
          <t>Diffuser acrylic A4 sheet</t>
        </is>
      </c>
      <c r="G115" s="7" t="n">
        <v>4</v>
      </c>
      <c r="H115" s="7" t="inlineStr">
        <is>
          <t>sheet</t>
        </is>
      </c>
      <c r="I115" s="8" t="n">
        <v>6</v>
      </c>
      <c r="J115" s="8">
        <f>IF(G115="","",G115*I115)</f>
        <v/>
      </c>
      <c r="K115" s="7" t="inlineStr">
        <is>
          <t>Amazon / TAP Plastics</t>
        </is>
      </c>
      <c r="L115" s="7" t="inlineStr">
        <is>
          <t>Recommended</t>
        </is>
      </c>
      <c r="M115" s="7" t="inlineStr">
        <is>
          <t>To Order</t>
        </is>
      </c>
    </row>
    <row r="116">
      <c r="A116" s="9" t="inlineStr">
        <is>
          <t>SUBTOTAL — Electronics: Lighting &amp; Effects</t>
        </is>
      </c>
      <c r="B116" s="15" t="n"/>
      <c r="C116" s="15" t="n"/>
      <c r="D116" s="15" t="n"/>
      <c r="E116" s="15" t="n"/>
      <c r="F116" s="16" t="n"/>
      <c r="G116" s="9" t="n"/>
      <c r="H116" s="9" t="n"/>
      <c r="I116" s="10" t="n"/>
      <c r="J116" s="11">
        <f>SUM(J112:J115)</f>
        <v/>
      </c>
      <c r="K116" s="9" t="n"/>
      <c r="L116" s="9" t="n"/>
      <c r="M116" s="9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8" t="n"/>
      <c r="J117" s="8" t="n"/>
      <c r="K117" s="7" t="n"/>
      <c r="L117" s="7" t="n"/>
      <c r="M117" s="7" t="n"/>
    </row>
    <row r="118" ht="22" customHeight="1">
      <c r="A118" s="12" t="inlineStr">
        <is>
          <t>SECTION 10 — CONNECTORS &amp; WIRING ACCESSORIES</t>
        </is>
      </c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6" t="n"/>
    </row>
    <row r="119" ht="30" customHeight="1">
      <c r="A119" s="5" t="inlineStr">
        <is>
          <t>Item #</t>
        </is>
      </c>
      <c r="B119" s="5" t="inlineStr">
        <is>
          <t>Component Name</t>
        </is>
      </c>
      <c r="C119" s="5" t="inlineStr">
        <is>
          <t>Description / Notes</t>
        </is>
      </c>
      <c r="D119" s="5" t="inlineStr">
        <is>
          <t>Category</t>
        </is>
      </c>
      <c r="E119" s="5" t="inlineStr">
        <is>
          <t>Morphology / Assembly</t>
        </is>
      </c>
      <c r="F119" s="5" t="inlineStr">
        <is>
          <t>Material or Spec</t>
        </is>
      </c>
      <c r="G119" s="5" t="inlineStr">
        <is>
          <t>Qty</t>
        </is>
      </c>
      <c r="H119" s="5" t="inlineStr">
        <is>
          <t>Unit</t>
        </is>
      </c>
      <c r="I119" s="6" t="inlineStr">
        <is>
          <t>Unit Cost (CAD est.)</t>
        </is>
      </c>
      <c r="J119" s="6" t="inlineStr">
        <is>
          <t>Total Cost (CAD)</t>
        </is>
      </c>
      <c r="K119" s="5" t="inlineStr">
        <is>
          <t>Supplier / Source</t>
        </is>
      </c>
      <c r="L119" s="5" t="inlineStr">
        <is>
          <t>Priority</t>
        </is>
      </c>
      <c r="M119" s="5" t="inlineStr">
        <is>
          <t>Status</t>
        </is>
      </c>
    </row>
    <row r="120" ht="18" customHeight="1">
      <c r="A120" s="7" t="n">
        <v>80</v>
      </c>
      <c r="B120" s="7" t="inlineStr">
        <is>
          <t>JST-PH 2.0mm 2-pin Connector Pairs</t>
        </is>
      </c>
      <c r="C120" s="7" t="inlineStr">
        <is>
          <t>Power connectors, male + female pairs</t>
        </is>
      </c>
      <c r="D120" s="7" t="inlineStr">
        <is>
          <t>Connectors</t>
        </is>
      </c>
      <c r="E120" s="7" t="inlineStr">
        <is>
          <t>Power Connections</t>
        </is>
      </c>
      <c r="F120" s="7" t="inlineStr">
        <is>
          <t>JST-PH 2.0mm 2-pin, M+F pairs</t>
        </is>
      </c>
      <c r="G120" s="7" t="n">
        <v>30</v>
      </c>
      <c r="H120" s="7" t="inlineStr">
        <is>
          <t>pair</t>
        </is>
      </c>
      <c r="I120" s="8" t="n">
        <v>0.6</v>
      </c>
      <c r="J120" s="8">
        <f>IF(G120="","",G120*I120)</f>
        <v/>
      </c>
      <c r="K120" s="7" t="inlineStr">
        <is>
          <t>Adafruit / Amazon</t>
        </is>
      </c>
      <c r="L120" s="7" t="inlineStr">
        <is>
          <t>Critical</t>
        </is>
      </c>
      <c r="M120" s="7" t="inlineStr">
        <is>
          <t>To Order</t>
        </is>
      </c>
    </row>
    <row r="121" ht="18" customHeight="1">
      <c r="A121" s="7" t="n">
        <v>81</v>
      </c>
      <c r="B121" s="7" t="inlineStr">
        <is>
          <t>JST-SH 1.0mm 4-pin Connector Pairs</t>
        </is>
      </c>
      <c r="C121" s="7" t="inlineStr">
        <is>
          <t>I2C daisy-chain connectors, male + female pairs</t>
        </is>
      </c>
      <c r="D121" s="7" t="inlineStr">
        <is>
          <t>Connectors</t>
        </is>
      </c>
      <c r="E121" s="7" t="inlineStr">
        <is>
          <t>I2C Bus</t>
        </is>
      </c>
      <c r="F121" s="7" t="inlineStr">
        <is>
          <t>JST-SH 1.0mm 4-pin, M+F pairs</t>
        </is>
      </c>
      <c r="G121" s="7" t="n">
        <v>40</v>
      </c>
      <c r="H121" s="7" t="inlineStr">
        <is>
          <t>pair</t>
        </is>
      </c>
      <c r="I121" s="8" t="n">
        <v>0.55</v>
      </c>
      <c r="J121" s="8">
        <f>IF(G121="","",G121*I121)</f>
        <v/>
      </c>
      <c r="K121" s="7" t="inlineStr">
        <is>
          <t>Adafruit / Amazon</t>
        </is>
      </c>
      <c r="L121" s="7" t="inlineStr">
        <is>
          <t>Critical</t>
        </is>
      </c>
      <c r="M121" s="7" t="inlineStr">
        <is>
          <t>To Order</t>
        </is>
      </c>
    </row>
    <row r="122" ht="18" customHeight="1">
      <c r="A122" s="7" t="n">
        <v>82</v>
      </c>
      <c r="B122" s="7" t="inlineStr">
        <is>
          <t>JST-XH 2.54mm 3-pin Connectors</t>
        </is>
      </c>
      <c r="C122" s="7" t="inlineStr">
        <is>
          <t>Sensor breakout connectors</t>
        </is>
      </c>
      <c r="D122" s="7" t="inlineStr">
        <is>
          <t>Connectors</t>
        </is>
      </c>
      <c r="E122" s="7" t="inlineStr">
        <is>
          <t>Sensor Breakouts</t>
        </is>
      </c>
      <c r="F122" s="7" t="inlineStr">
        <is>
          <t>JST-XH 2.54mm 3-pin</t>
        </is>
      </c>
      <c r="G122" s="7" t="n">
        <v>20</v>
      </c>
      <c r="H122" s="7" t="inlineStr">
        <is>
          <t>ea</t>
        </is>
      </c>
      <c r="I122" s="8" t="n">
        <v>0.4</v>
      </c>
      <c r="J122" s="8">
        <f>IF(G122="","",G122*I122)</f>
        <v/>
      </c>
      <c r="K122" s="7" t="inlineStr">
        <is>
          <t>Amazon / Digikey</t>
        </is>
      </c>
      <c r="L122" s="7" t="inlineStr">
        <is>
          <t>Recommended</t>
        </is>
      </c>
      <c r="M122" s="7" t="inlineStr">
        <is>
          <t>To Order</t>
        </is>
      </c>
    </row>
    <row r="123" ht="18" customHeight="1">
      <c r="A123" s="7" t="n">
        <v>83</v>
      </c>
      <c r="B123" s="7" t="inlineStr">
        <is>
          <t>Molex KK 254 3-pin Connectors</t>
        </is>
      </c>
      <c r="C123" s="7" t="inlineStr">
        <is>
          <t>Motor/actuator local connectors</t>
        </is>
      </c>
      <c r="D123" s="7" t="inlineStr">
        <is>
          <t>Connectors</t>
        </is>
      </c>
      <c r="E123" s="7" t="inlineStr">
        <is>
          <t>Actuator Local</t>
        </is>
      </c>
      <c r="F123" s="7" t="inlineStr">
        <is>
          <t>Molex KK 254 3-pin</t>
        </is>
      </c>
      <c r="G123" s="7" t="n">
        <v>10</v>
      </c>
      <c r="H123" s="7" t="inlineStr">
        <is>
          <t>ea</t>
        </is>
      </c>
      <c r="I123" s="8" t="n">
        <v>0.5</v>
      </c>
      <c r="J123" s="8">
        <f>IF(G123="","",G123*I123)</f>
        <v/>
      </c>
      <c r="K123" s="7" t="inlineStr">
        <is>
          <t>Digikey / Mouser</t>
        </is>
      </c>
      <c r="L123" s="7" t="inlineStr">
        <is>
          <t>Optional</t>
        </is>
      </c>
      <c r="M123" s="7" t="inlineStr">
        <is>
          <t>To Order</t>
        </is>
      </c>
    </row>
    <row r="124" ht="18" customHeight="1">
      <c r="A124" s="7" t="n">
        <v>84</v>
      </c>
      <c r="B124" s="7" t="inlineStr">
        <is>
          <t>RJ45 Keystone Jack + Patch Panel</t>
        </is>
      </c>
      <c r="C124" s="7" t="inlineStr">
        <is>
          <t>Structured wiring backbone</t>
        </is>
      </c>
      <c r="D124" s="7" t="inlineStr">
        <is>
          <t>Connectors</t>
        </is>
      </c>
      <c r="E124" s="7" t="inlineStr">
        <is>
          <t>Wiring Backbone</t>
        </is>
      </c>
      <c r="F124" s="7" t="inlineStr">
        <is>
          <t>RJ45 keystone + patch panel</t>
        </is>
      </c>
      <c r="G124" s="7" t="n">
        <v>6</v>
      </c>
      <c r="H124" s="7" t="inlineStr">
        <is>
          <t>ea</t>
        </is>
      </c>
      <c r="I124" s="8" t="n">
        <v>4.5</v>
      </c>
      <c r="J124" s="8">
        <f>IF(G124="","",G124*I124)</f>
        <v/>
      </c>
      <c r="K124" s="7" t="inlineStr">
        <is>
          <t>Amazon / Monoprice</t>
        </is>
      </c>
      <c r="L124" s="7" t="inlineStr">
        <is>
          <t>Optional</t>
        </is>
      </c>
      <c r="M124" s="7" t="inlineStr">
        <is>
          <t>To Order</t>
        </is>
      </c>
    </row>
    <row r="125" ht="18" customHeight="1">
      <c r="A125" s="7" t="n">
        <v>85</v>
      </c>
      <c r="B125" s="7" t="inlineStr">
        <is>
          <t>USB-C Panel Mount Connector</t>
        </is>
      </c>
      <c r="C125" s="7" t="inlineStr">
        <is>
          <t>Panel-mount USB-C for node access</t>
        </is>
      </c>
      <c r="D125" s="7" t="inlineStr">
        <is>
          <t>Connectors</t>
        </is>
      </c>
      <c r="E125" s="7" t="inlineStr">
        <is>
          <t>Power Interface</t>
        </is>
      </c>
      <c r="F125" s="7" t="inlineStr">
        <is>
          <t>USB-C panel mount</t>
        </is>
      </c>
      <c r="G125" s="7" t="n">
        <v>4</v>
      </c>
      <c r="H125" s="7" t="inlineStr">
        <is>
          <t>ea</t>
        </is>
      </c>
      <c r="I125" s="8" t="n">
        <v>5</v>
      </c>
      <c r="J125" s="8">
        <f>IF(G125="","",G125*I125)</f>
        <v/>
      </c>
      <c r="K125" s="7" t="inlineStr">
        <is>
          <t>Adafruit / Amazon</t>
        </is>
      </c>
      <c r="L125" s="7" t="inlineStr">
        <is>
          <t>Recommended</t>
        </is>
      </c>
      <c r="M125" s="7" t="inlineStr">
        <is>
          <t>To Order</t>
        </is>
      </c>
    </row>
    <row r="126" ht="18" customHeight="1">
      <c r="A126" s="7" t="n">
        <v>86</v>
      </c>
      <c r="B126" s="7" t="inlineStr">
        <is>
          <t>3.5mm Stereo Audio Jack Panel Mount</t>
        </is>
      </c>
      <c r="C126" s="7" t="inlineStr">
        <is>
          <t>Panel-mount audio jack for sensor routing</t>
        </is>
      </c>
      <c r="D126" s="7" t="inlineStr">
        <is>
          <t>Connectors</t>
        </is>
      </c>
      <c r="E126" s="7" t="inlineStr">
        <is>
          <t>Audio Sensor</t>
        </is>
      </c>
      <c r="F126" s="7" t="inlineStr">
        <is>
          <t>3.5mm stereo TRS panel mount</t>
        </is>
      </c>
      <c r="G126" s="7" t="n">
        <v>4</v>
      </c>
      <c r="H126" s="7" t="inlineStr">
        <is>
          <t>ea</t>
        </is>
      </c>
      <c r="I126" s="8" t="n">
        <v>2.5</v>
      </c>
      <c r="J126" s="8">
        <f>IF(G126="","",G126*I126)</f>
        <v/>
      </c>
      <c r="K126" s="7" t="inlineStr">
        <is>
          <t>Amazon / Digikey</t>
        </is>
      </c>
      <c r="L126" s="7" t="inlineStr">
        <is>
          <t>Optional</t>
        </is>
      </c>
      <c r="M126" s="7" t="inlineStr">
        <is>
          <t>To Order</t>
        </is>
      </c>
    </row>
    <row r="127" ht="18" customHeight="1">
      <c r="A127" s="7" t="n">
        <v>87</v>
      </c>
      <c r="B127" s="7" t="inlineStr">
        <is>
          <t>Crimp Tool for JST/Molex</t>
        </is>
      </c>
      <c r="C127" s="7" t="inlineStr">
        <is>
          <t>Precision crimping tool for JST and Molex pins</t>
        </is>
      </c>
      <c r="D127" s="7" t="inlineStr">
        <is>
          <t>Connectors</t>
        </is>
      </c>
      <c r="E127" s="7" t="inlineStr">
        <is>
          <t>Tooling</t>
        </is>
      </c>
      <c r="F127" s="7" t="inlineStr">
        <is>
          <t>JST/Molex crimp tool</t>
        </is>
      </c>
      <c r="G127" s="7" t="n">
        <v>1</v>
      </c>
      <c r="H127" s="7" t="inlineStr">
        <is>
          <t>ea</t>
        </is>
      </c>
      <c r="I127" s="8" t="n">
        <v>30</v>
      </c>
      <c r="J127" s="8">
        <f>IF(G127="","",G127*I127)</f>
        <v/>
      </c>
      <c r="K127" s="7" t="inlineStr">
        <is>
          <t>Amazon / Engineer Japan</t>
        </is>
      </c>
      <c r="L127" s="7" t="inlineStr">
        <is>
          <t>Critical</t>
        </is>
      </c>
      <c r="M127" s="7" t="inlineStr">
        <is>
          <t>To Order</t>
        </is>
      </c>
    </row>
    <row r="128" ht="18" customHeight="1">
      <c r="A128" s="7" t="n">
        <v>88</v>
      </c>
      <c r="B128" s="7" t="inlineStr">
        <is>
          <t>Pin Extraction Tool</t>
        </is>
      </c>
      <c r="C128" s="7" t="inlineStr">
        <is>
          <t>For re-working JST/Molex pin extractions</t>
        </is>
      </c>
      <c r="D128" s="7" t="inlineStr">
        <is>
          <t>Connectors</t>
        </is>
      </c>
      <c r="E128" s="7" t="inlineStr">
        <is>
          <t>Tooling</t>
        </is>
      </c>
      <c r="F128" s="7" t="inlineStr">
        <is>
          <t>Pin extractor/depinning tool</t>
        </is>
      </c>
      <c r="G128" s="7" t="n">
        <v>1</v>
      </c>
      <c r="H128" s="7" t="inlineStr">
        <is>
          <t>ea</t>
        </is>
      </c>
      <c r="I128" s="8" t="n">
        <v>8</v>
      </c>
      <c r="J128" s="8">
        <f>IF(G128="","",G128*I128)</f>
        <v/>
      </c>
      <c r="K128" s="7" t="inlineStr">
        <is>
          <t>Amazon / Digikey</t>
        </is>
      </c>
      <c r="L128" s="7" t="inlineStr">
        <is>
          <t>Recommended</t>
        </is>
      </c>
      <c r="M128" s="7" t="inlineStr">
        <is>
          <t>To Order</t>
        </is>
      </c>
    </row>
    <row r="129">
      <c r="A129" s="9" t="inlineStr">
        <is>
          <t>SUBTOTAL — Connectors &amp; Wiring Accessories</t>
        </is>
      </c>
      <c r="B129" s="15" t="n"/>
      <c r="C129" s="15" t="n"/>
      <c r="D129" s="15" t="n"/>
      <c r="E129" s="15" t="n"/>
      <c r="F129" s="16" t="n"/>
      <c r="G129" s="9" t="n"/>
      <c r="H129" s="9" t="n"/>
      <c r="I129" s="10" t="n"/>
      <c r="J129" s="11">
        <f>SUM(J120:J128)</f>
        <v/>
      </c>
      <c r="K129" s="9" t="n"/>
      <c r="L129" s="9" t="n"/>
      <c r="M129" s="9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8" t="n"/>
      <c r="J130" s="8" t="n"/>
      <c r="K130" s="7" t="n"/>
      <c r="L130" s="7" t="n"/>
      <c r="M130" s="7" t="n"/>
    </row>
    <row r="131" ht="22" customHeight="1">
      <c r="A131" s="12" t="inlineStr">
        <is>
          <t>SECTION 11 — CONSUMABLES &amp; WORKSHOP SUPPLIES</t>
        </is>
      </c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6" t="n"/>
    </row>
    <row r="132" ht="30" customHeight="1">
      <c r="A132" s="5" t="inlineStr">
        <is>
          <t>Item #</t>
        </is>
      </c>
      <c r="B132" s="5" t="inlineStr">
        <is>
          <t>Component Name</t>
        </is>
      </c>
      <c r="C132" s="5" t="inlineStr">
        <is>
          <t>Description / Notes</t>
        </is>
      </c>
      <c r="D132" s="5" t="inlineStr">
        <is>
          <t>Category</t>
        </is>
      </c>
      <c r="E132" s="5" t="inlineStr">
        <is>
          <t>Morphology / Assembly</t>
        </is>
      </c>
      <c r="F132" s="5" t="inlineStr">
        <is>
          <t>Material or Spec</t>
        </is>
      </c>
      <c r="G132" s="5" t="inlineStr">
        <is>
          <t>Qty</t>
        </is>
      </c>
      <c r="H132" s="5" t="inlineStr">
        <is>
          <t>Unit</t>
        </is>
      </c>
      <c r="I132" s="6" t="inlineStr">
        <is>
          <t>Unit Cost (CAD est.)</t>
        </is>
      </c>
      <c r="J132" s="6" t="inlineStr">
        <is>
          <t>Total Cost (CAD)</t>
        </is>
      </c>
      <c r="K132" s="5" t="inlineStr">
        <is>
          <t>Supplier / Source</t>
        </is>
      </c>
      <c r="L132" s="5" t="inlineStr">
        <is>
          <t>Priority</t>
        </is>
      </c>
      <c r="M132" s="5" t="inlineStr">
        <is>
          <t>Status</t>
        </is>
      </c>
    </row>
    <row r="133" ht="18" customHeight="1">
      <c r="A133" s="7" t="n">
        <v>89</v>
      </c>
      <c r="B133" s="7" t="inlineStr">
        <is>
          <t>Isopropyl Alcohol 99% 1L</t>
        </is>
      </c>
      <c r="C133" s="7" t="inlineStr">
        <is>
          <t>Bed adhesion surface cleaning and part cleaning</t>
        </is>
      </c>
      <c r="D133" s="7" t="inlineStr">
        <is>
          <t>Consumables</t>
        </is>
      </c>
      <c r="E133" s="7" t="inlineStr">
        <is>
          <t>Workshop</t>
        </is>
      </c>
      <c r="F133" s="7" t="inlineStr">
        <is>
          <t>IPA 99%, 1L</t>
        </is>
      </c>
      <c r="G133" s="7" t="n">
        <v>2</v>
      </c>
      <c r="H133" s="7" t="inlineStr">
        <is>
          <t>bottle</t>
        </is>
      </c>
      <c r="I133" s="8" t="n">
        <v>14</v>
      </c>
      <c r="J133" s="8">
        <f>IF(G133="","",G133*I133)</f>
        <v/>
      </c>
      <c r="K133" s="7" t="inlineStr">
        <is>
          <t>Amazon / local pharmacy</t>
        </is>
      </c>
      <c r="L133" s="7" t="inlineStr">
        <is>
          <t>Critical</t>
        </is>
      </c>
      <c r="M133" s="7" t="inlineStr">
        <is>
          <t>In Stock</t>
        </is>
      </c>
    </row>
    <row r="134" ht="18" customHeight="1">
      <c r="A134" s="7" t="n">
        <v>90</v>
      </c>
      <c r="B134" s="7" t="inlineStr">
        <is>
          <t>Magigoo PETG/ABS Adhesion Stick</t>
        </is>
      </c>
      <c r="C134" s="7" t="inlineStr">
        <is>
          <t>Bed adhesion promoter for PETG and ABS</t>
        </is>
      </c>
      <c r="D134" s="7" t="inlineStr">
        <is>
          <t>Consumables</t>
        </is>
      </c>
      <c r="E134" s="7" t="inlineStr">
        <is>
          <t>Workshop</t>
        </is>
      </c>
      <c r="F134" s="7" t="inlineStr">
        <is>
          <t>Magigoo PETG/ABS stick</t>
        </is>
      </c>
      <c r="G134" s="7" t="n">
        <v>2</v>
      </c>
      <c r="H134" s="7" t="inlineStr">
        <is>
          <t>ea</t>
        </is>
      </c>
      <c r="I134" s="8" t="n">
        <v>18</v>
      </c>
      <c r="J134" s="8">
        <f>IF(G134="","",G134*I134)</f>
        <v/>
      </c>
      <c r="K134" s="7" t="inlineStr">
        <is>
          <t>Magigoo / Amazon</t>
        </is>
      </c>
      <c r="L134" s="7" t="inlineStr">
        <is>
          <t>Recommended</t>
        </is>
      </c>
      <c r="M134" s="7" t="inlineStr">
        <is>
          <t>To Order</t>
        </is>
      </c>
    </row>
    <row r="135" ht="18" customHeight="1">
      <c r="A135" s="7" t="n">
        <v>91</v>
      </c>
      <c r="B135" s="7" t="inlineStr">
        <is>
          <t>Super Glue CA Medium Viscosity</t>
        </is>
      </c>
      <c r="C135" s="7" t="inlineStr">
        <is>
          <t>CA adhesive 20g for part bonding/finishing</t>
        </is>
      </c>
      <c r="D135" s="7" t="inlineStr">
        <is>
          <t>Consumables</t>
        </is>
      </c>
      <c r="E135" s="7" t="inlineStr">
        <is>
          <t>Workshop</t>
        </is>
      </c>
      <c r="F135" s="7" t="inlineStr">
        <is>
          <t>CA medium viscosity, 20g</t>
        </is>
      </c>
      <c r="G135" s="7" t="n">
        <v>3</v>
      </c>
      <c r="H135" s="7" t="inlineStr">
        <is>
          <t>tube</t>
        </is>
      </c>
      <c r="I135" s="8" t="n">
        <v>5</v>
      </c>
      <c r="J135" s="8">
        <f>IF(G135="","",G135*I135)</f>
        <v/>
      </c>
      <c r="K135" s="7" t="inlineStr">
        <is>
          <t>Amazon / local hardware</t>
        </is>
      </c>
      <c r="L135" s="7" t="inlineStr">
        <is>
          <t>Recommended</t>
        </is>
      </c>
      <c r="M135" s="7" t="inlineStr">
        <is>
          <t>In Stock</t>
        </is>
      </c>
    </row>
    <row r="136" ht="18" customHeight="1">
      <c r="A136" s="7" t="n">
        <v>92</v>
      </c>
      <c r="B136" s="7" t="inlineStr">
        <is>
          <t>5-Minute Epoxy Syringes</t>
        </is>
      </c>
      <c r="C136" s="7" t="inlineStr">
        <is>
          <t>Two-part fast-cure epoxy for structural bonding</t>
        </is>
      </c>
      <c r="D136" s="7" t="inlineStr">
        <is>
          <t>Consumables</t>
        </is>
      </c>
      <c r="E136" s="7" t="inlineStr">
        <is>
          <t>Workshop</t>
        </is>
      </c>
      <c r="F136" s="7" t="inlineStr">
        <is>
          <t>5-min epoxy syringe dual</t>
        </is>
      </c>
      <c r="G136" s="7" t="n">
        <v>4</v>
      </c>
      <c r="H136" s="7" t="inlineStr">
        <is>
          <t>ea</t>
        </is>
      </c>
      <c r="I136" s="8" t="n">
        <v>6</v>
      </c>
      <c r="J136" s="8">
        <f>IF(G136="","",G136*I136)</f>
        <v/>
      </c>
      <c r="K136" s="7" t="inlineStr">
        <is>
          <t>Amazon / local hardware</t>
        </is>
      </c>
      <c r="L136" s="7" t="inlineStr">
        <is>
          <t>Recommended</t>
        </is>
      </c>
      <c r="M136" s="7" t="inlineStr">
        <is>
          <t>To Order</t>
        </is>
      </c>
    </row>
    <row r="137" ht="18" customHeight="1">
      <c r="A137" s="7" t="n">
        <v>93</v>
      </c>
      <c r="B137" s="7" t="inlineStr">
        <is>
          <t>Kapton Tape Roll 25mm</t>
        </is>
      </c>
      <c r="C137" s="7" t="inlineStr">
        <is>
          <t>High-temp masking tape for bed/wire insulation</t>
        </is>
      </c>
      <c r="D137" s="7" t="inlineStr">
        <is>
          <t>Consumables</t>
        </is>
      </c>
      <c r="E137" s="7" t="inlineStr">
        <is>
          <t>Workshop</t>
        </is>
      </c>
      <c r="F137" s="7" t="inlineStr">
        <is>
          <t>Kapton 25mm, 33m roll</t>
        </is>
      </c>
      <c r="G137" s="7" t="n">
        <v>2</v>
      </c>
      <c r="H137" s="7" t="inlineStr">
        <is>
          <t>roll</t>
        </is>
      </c>
      <c r="I137" s="8" t="n">
        <v>8</v>
      </c>
      <c r="J137" s="8">
        <f>IF(G137="","",G137*I137)</f>
        <v/>
      </c>
      <c r="K137" s="7" t="inlineStr">
        <is>
          <t>Amazon</t>
        </is>
      </c>
      <c r="L137" s="7" t="inlineStr">
        <is>
          <t>Recommended</t>
        </is>
      </c>
      <c r="M137" s="7" t="inlineStr">
        <is>
          <t>In Stock</t>
        </is>
      </c>
    </row>
    <row r="138" ht="18" customHeight="1">
      <c r="A138" s="7" t="n">
        <v>94</v>
      </c>
      <c r="B138" s="7" t="inlineStr">
        <is>
          <t>Blue Painter's Tape 50mm</t>
        </is>
      </c>
      <c r="C138" s="7" t="inlineStr">
        <is>
          <t>Print bed surface tape and masking</t>
        </is>
      </c>
      <c r="D138" s="7" t="inlineStr">
        <is>
          <t>Consumables</t>
        </is>
      </c>
      <c r="E138" s="7" t="inlineStr">
        <is>
          <t>Workshop</t>
        </is>
      </c>
      <c r="F138" s="7" t="inlineStr">
        <is>
          <t>Blue painter's tape 50mm</t>
        </is>
      </c>
      <c r="G138" s="7" t="n">
        <v>2</v>
      </c>
      <c r="H138" s="7" t="inlineStr">
        <is>
          <t>roll</t>
        </is>
      </c>
      <c r="I138" s="8" t="n">
        <v>5</v>
      </c>
      <c r="J138" s="8">
        <f>IF(G138="","",G138*I138)</f>
        <v/>
      </c>
      <c r="K138" s="7" t="inlineStr">
        <is>
          <t>Amazon / local hardware</t>
        </is>
      </c>
      <c r="L138" s="7" t="inlineStr">
        <is>
          <t>Recommended</t>
        </is>
      </c>
      <c r="M138" s="7" t="inlineStr">
        <is>
          <t>In Stock</t>
        </is>
      </c>
    </row>
    <row r="139" ht="18" customHeight="1">
      <c r="A139" s="7" t="n">
        <v>95</v>
      </c>
      <c r="B139" s="7" t="inlineStr">
        <is>
          <t>Sanding Paper Assortment</t>
        </is>
      </c>
      <c r="C139" s="7" t="inlineStr">
        <is>
          <t>120 / 220 / 400 grit for part finishing</t>
        </is>
      </c>
      <c r="D139" s="7" t="inlineStr">
        <is>
          <t>Consumables</t>
        </is>
      </c>
      <c r="E139" s="7" t="inlineStr">
        <is>
          <t>Workshop</t>
        </is>
      </c>
      <c r="F139" s="7" t="inlineStr">
        <is>
          <t>120/220/400 grit assortment</t>
        </is>
      </c>
      <c r="G139" s="7" t="n">
        <v>1</v>
      </c>
      <c r="H139" s="7" t="inlineStr">
        <is>
          <t>set</t>
        </is>
      </c>
      <c r="I139" s="8" t="n">
        <v>8</v>
      </c>
      <c r="J139" s="8">
        <f>IF(G139="","",G139*I139)</f>
        <v/>
      </c>
      <c r="K139" s="7" t="inlineStr">
        <is>
          <t>Amazon / local hardware</t>
        </is>
      </c>
      <c r="L139" s="7" t="inlineStr">
        <is>
          <t>Recommended</t>
        </is>
      </c>
      <c r="M139" s="7" t="inlineStr">
        <is>
          <t>In Stock</t>
        </is>
      </c>
    </row>
    <row r="140" ht="18" customHeight="1">
      <c r="A140" s="7" t="n">
        <v>96</v>
      </c>
      <c r="B140" s="7" t="inlineStr">
        <is>
          <t>Hobby Knife + Spare Blades</t>
        </is>
      </c>
      <c r="C140" s="7" t="inlineStr">
        <is>
          <t>Support removal and part finishing</t>
        </is>
      </c>
      <c r="D140" s="7" t="inlineStr">
        <is>
          <t>Consumables</t>
        </is>
      </c>
      <c r="E140" s="7" t="inlineStr">
        <is>
          <t>Workshop</t>
        </is>
      </c>
      <c r="F140" s="7" t="inlineStr">
        <is>
          <t>Hobby knife + blades</t>
        </is>
      </c>
      <c r="G140" s="7" t="n">
        <v>1</v>
      </c>
      <c r="H140" s="7" t="inlineStr">
        <is>
          <t>set</t>
        </is>
      </c>
      <c r="I140" s="8" t="n">
        <v>12</v>
      </c>
      <c r="J140" s="8">
        <f>IF(G140="","",G140*I140)</f>
        <v/>
      </c>
      <c r="K140" s="7" t="inlineStr">
        <is>
          <t>Amazon / local hardware</t>
        </is>
      </c>
      <c r="L140" s="7" t="inlineStr">
        <is>
          <t>Critical</t>
        </is>
      </c>
      <c r="M140" s="7" t="inlineStr">
        <is>
          <t>In Stock</t>
        </is>
      </c>
    </row>
    <row r="141" ht="18" customHeight="1">
      <c r="A141" s="7" t="n">
        <v>97</v>
      </c>
      <c r="B141" s="7" t="inlineStr">
        <is>
          <t>Flush-Cut Sprue Cutters</t>
        </is>
      </c>
      <c r="C141" s="7" t="inlineStr">
        <is>
          <t>Clean support removal from 3D prints</t>
        </is>
      </c>
      <c r="D141" s="7" t="inlineStr">
        <is>
          <t>Consumables</t>
        </is>
      </c>
      <c r="E141" s="7" t="inlineStr">
        <is>
          <t>Workshop</t>
        </is>
      </c>
      <c r="F141" s="7" t="inlineStr">
        <is>
          <t>Flush-cut cutters</t>
        </is>
      </c>
      <c r="G141" s="7" t="n">
        <v>1</v>
      </c>
      <c r="H141" s="7" t="inlineStr">
        <is>
          <t>ea</t>
        </is>
      </c>
      <c r="I141" s="8" t="n">
        <v>18</v>
      </c>
      <c r="J141" s="8">
        <f>IF(G141="","",G141*I141)</f>
        <v/>
      </c>
      <c r="K141" s="7" t="inlineStr">
        <is>
          <t>Amazon / local hardware</t>
        </is>
      </c>
      <c r="L141" s="7" t="inlineStr">
        <is>
          <t>Critical</t>
        </is>
      </c>
      <c r="M141" s="7" t="inlineStr">
        <is>
          <t>In Stock</t>
        </is>
      </c>
    </row>
    <row r="142" ht="18" customHeight="1">
      <c r="A142" s="7" t="n">
        <v>98</v>
      </c>
      <c r="B142" s="7" t="inlineStr">
        <is>
          <t>Soldering Iron Temp Control</t>
        </is>
      </c>
      <c r="C142" s="7" t="inlineStr">
        <is>
          <t>Temperature-controlled soldering iron with tips</t>
        </is>
      </c>
      <c r="D142" s="7" t="inlineStr">
        <is>
          <t>Consumables</t>
        </is>
      </c>
      <c r="E142" s="7" t="inlineStr">
        <is>
          <t>Electronics Workshop</t>
        </is>
      </c>
      <c r="F142" s="7" t="inlineStr">
        <is>
          <t>Temp-ctrl solder iron + tips</t>
        </is>
      </c>
      <c r="G142" s="7" t="n">
        <v>1</v>
      </c>
      <c r="H142" s="7" t="inlineStr">
        <is>
          <t>ea</t>
        </is>
      </c>
      <c r="I142" s="8" t="n">
        <v>45</v>
      </c>
      <c r="J142" s="8">
        <f>IF(G142="","",G142*I142)</f>
        <v/>
      </c>
      <c r="K142" s="7" t="inlineStr">
        <is>
          <t>Amazon / Hakko / TS100</t>
        </is>
      </c>
      <c r="L142" s="7" t="inlineStr">
        <is>
          <t>Critical</t>
        </is>
      </c>
      <c r="M142" s="7" t="inlineStr">
        <is>
          <t>In Stock</t>
        </is>
      </c>
    </row>
    <row r="143" ht="18" customHeight="1">
      <c r="A143" s="7" t="n">
        <v>99</v>
      </c>
      <c r="B143" s="7" t="inlineStr">
        <is>
          <t>Solder 60/40 Rosin Core 0.8mm</t>
        </is>
      </c>
      <c r="C143" s="7" t="inlineStr">
        <is>
          <t>100g spool electronics solder</t>
        </is>
      </c>
      <c r="D143" s="7" t="inlineStr">
        <is>
          <t>Consumables</t>
        </is>
      </c>
      <c r="E143" s="7" t="inlineStr">
        <is>
          <t>Electronics Workshop</t>
        </is>
      </c>
      <c r="F143" s="7" t="inlineStr">
        <is>
          <t>60/40 rosin core, 0.8mm, 100g</t>
        </is>
      </c>
      <c r="G143" s="7" t="n">
        <v>1</v>
      </c>
      <c r="H143" s="7" t="inlineStr">
        <is>
          <t>spool</t>
        </is>
      </c>
      <c r="I143" s="8" t="n">
        <v>12</v>
      </c>
      <c r="J143" s="8">
        <f>IF(G143="","",G143*I143)</f>
        <v/>
      </c>
      <c r="K143" s="7" t="inlineStr">
        <is>
          <t>Amazon / local electronics</t>
        </is>
      </c>
      <c r="L143" s="7" t="inlineStr">
        <is>
          <t>Critical</t>
        </is>
      </c>
      <c r="M143" s="7" t="inlineStr">
        <is>
          <t>In Stock</t>
        </is>
      </c>
    </row>
    <row r="144" ht="18" customHeight="1">
      <c r="A144" s="7" t="n">
        <v>100</v>
      </c>
      <c r="B144" s="7" t="inlineStr">
        <is>
          <t>Flux Pen</t>
        </is>
      </c>
      <c r="C144" s="7" t="inlineStr">
        <is>
          <t>No-clean flux pen for soldering joints</t>
        </is>
      </c>
      <c r="D144" s="7" t="inlineStr">
        <is>
          <t>Consumables</t>
        </is>
      </c>
      <c r="E144" s="7" t="inlineStr">
        <is>
          <t>Electronics Workshop</t>
        </is>
      </c>
      <c r="F144" s="7" t="inlineStr">
        <is>
          <t>Flux pen no-clean</t>
        </is>
      </c>
      <c r="G144" s="7" t="n">
        <v>1</v>
      </c>
      <c r="H144" s="7" t="inlineStr">
        <is>
          <t>ea</t>
        </is>
      </c>
      <c r="I144" s="8" t="n">
        <v>8</v>
      </c>
      <c r="J144" s="8">
        <f>IF(G144="","",G144*I144)</f>
        <v/>
      </c>
      <c r="K144" s="7" t="inlineStr">
        <is>
          <t>Amazon / local electronics</t>
        </is>
      </c>
      <c r="L144" s="7" t="inlineStr">
        <is>
          <t>Recommended</t>
        </is>
      </c>
      <c r="M144" s="7" t="inlineStr">
        <is>
          <t>To Order</t>
        </is>
      </c>
    </row>
    <row r="145" ht="18" customHeight="1">
      <c r="A145" s="7" t="n">
        <v>101</v>
      </c>
      <c r="B145" s="7" t="inlineStr">
        <is>
          <t>Desoldering Braid/Wick</t>
        </is>
      </c>
      <c r="C145" s="7" t="inlineStr">
        <is>
          <t>Solder wick for rework and desoldering</t>
        </is>
      </c>
      <c r="D145" s="7" t="inlineStr">
        <is>
          <t>Consumables</t>
        </is>
      </c>
      <c r="E145" s="7" t="inlineStr">
        <is>
          <t>Electronics Workshop</t>
        </is>
      </c>
      <c r="F145" s="7" t="inlineStr">
        <is>
          <t>Desoldering braid/wick</t>
        </is>
      </c>
      <c r="G145" s="7" t="n">
        <v>1</v>
      </c>
      <c r="H145" s="7" t="inlineStr">
        <is>
          <t>ea</t>
        </is>
      </c>
      <c r="I145" s="8" t="n">
        <v>5</v>
      </c>
      <c r="J145" s="8">
        <f>IF(G145="","",G145*I145)</f>
        <v/>
      </c>
      <c r="K145" s="7" t="inlineStr">
        <is>
          <t>Amazon / local electronics</t>
        </is>
      </c>
      <c r="L145" s="7" t="inlineStr">
        <is>
          <t>Recommended</t>
        </is>
      </c>
      <c r="M145" s="7" t="inlineStr">
        <is>
          <t>In Stock</t>
        </is>
      </c>
    </row>
    <row r="146" ht="18" customHeight="1">
      <c r="A146" s="7" t="n">
        <v>102</v>
      </c>
      <c r="B146" s="7" t="inlineStr">
        <is>
          <t>PCB Helping Hands / Vice</t>
        </is>
      </c>
      <c r="C146" s="7" t="inlineStr">
        <is>
          <t>Third-hand vice for PCB soldering work</t>
        </is>
      </c>
      <c r="D146" s="7" t="inlineStr">
        <is>
          <t>Consumables</t>
        </is>
      </c>
      <c r="E146" s="7" t="inlineStr">
        <is>
          <t>Electronics Workshop</t>
        </is>
      </c>
      <c r="F146" s="7" t="inlineStr">
        <is>
          <t>PCB helping hands/vice</t>
        </is>
      </c>
      <c r="G146" s="7" t="n">
        <v>1</v>
      </c>
      <c r="H146" s="7" t="inlineStr">
        <is>
          <t>ea</t>
        </is>
      </c>
      <c r="I146" s="8" t="n">
        <v>20</v>
      </c>
      <c r="J146" s="8">
        <f>IF(G146="","",G146*I146)</f>
        <v/>
      </c>
      <c r="K146" s="7" t="inlineStr">
        <is>
          <t>Amazon</t>
        </is>
      </c>
      <c r="L146" s="7" t="inlineStr">
        <is>
          <t>Recommended</t>
        </is>
      </c>
      <c r="M146" s="7" t="inlineStr">
        <is>
          <t>In Stock</t>
        </is>
      </c>
    </row>
    <row r="147" ht="18" customHeight="1">
      <c r="A147" s="7" t="n">
        <v>103</v>
      </c>
      <c r="B147" s="7" t="inlineStr">
        <is>
          <t>Safety Glasses</t>
        </is>
      </c>
      <c r="C147" s="7" t="inlineStr">
        <is>
          <t>PPE for workshop and laser/solder work</t>
        </is>
      </c>
      <c r="D147" s="7" t="inlineStr">
        <is>
          <t>Consumables</t>
        </is>
      </c>
      <c r="E147" s="7" t="inlineStr">
        <is>
          <t>Safety</t>
        </is>
      </c>
      <c r="F147" s="7" t="inlineStr">
        <is>
          <t>ANSI Z87.1 safety glasses</t>
        </is>
      </c>
      <c r="G147" s="7" t="n">
        <v>1</v>
      </c>
      <c r="H147" s="7" t="inlineStr">
        <is>
          <t>ea</t>
        </is>
      </c>
      <c r="I147" s="8" t="n">
        <v>8</v>
      </c>
      <c r="J147" s="8">
        <f>IF(G147="","",G147*I147)</f>
        <v/>
      </c>
      <c r="K147" s="7" t="inlineStr">
        <is>
          <t>Amazon / local hardware</t>
        </is>
      </c>
      <c r="L147" s="7" t="inlineStr">
        <is>
          <t>Critical</t>
        </is>
      </c>
      <c r="M147" s="7" t="inlineStr">
        <is>
          <t>In Stock</t>
        </is>
      </c>
    </row>
    <row r="148" ht="18" customHeight="1">
      <c r="A148" s="7" t="n">
        <v>104</v>
      </c>
      <c r="B148" s="7" t="inlineStr">
        <is>
          <t>Nitrile Gloves 100ct Box</t>
        </is>
      </c>
      <c r="C148" s="7" t="inlineStr">
        <is>
          <t>Chemical and particulate hand protection</t>
        </is>
      </c>
      <c r="D148" s="7" t="inlineStr">
        <is>
          <t>Consumables</t>
        </is>
      </c>
      <c r="E148" s="7" t="inlineStr">
        <is>
          <t>Safety</t>
        </is>
      </c>
      <c r="F148" s="7" t="inlineStr">
        <is>
          <t>Nitrile gloves, 100ct box</t>
        </is>
      </c>
      <c r="G148" s="7" t="n">
        <v>1</v>
      </c>
      <c r="H148" s="7" t="inlineStr">
        <is>
          <t>box</t>
        </is>
      </c>
      <c r="I148" s="8" t="n">
        <v>18</v>
      </c>
      <c r="J148" s="8">
        <f>IF(G148="","",G148*I148)</f>
        <v/>
      </c>
      <c r="K148" s="7" t="inlineStr">
        <is>
          <t>Amazon / local pharmacy</t>
        </is>
      </c>
      <c r="L148" s="7" t="inlineStr">
        <is>
          <t>Critical</t>
        </is>
      </c>
      <c r="M148" s="7" t="inlineStr">
        <is>
          <t>In Stock</t>
        </is>
      </c>
    </row>
    <row r="149" ht="18" customHeight="1">
      <c r="A149" s="7" t="n">
        <v>105</v>
      </c>
      <c r="B149" s="7" t="inlineStr">
        <is>
          <t>Hot Glue Gun with Sticks</t>
        </is>
      </c>
      <c r="C149" s="7" t="inlineStr">
        <is>
          <t>Temporary/structural bonding for prototyping</t>
        </is>
      </c>
      <c r="D149" s="7" t="inlineStr">
        <is>
          <t>Consumables</t>
        </is>
      </c>
      <c r="E149" s="7" t="inlineStr">
        <is>
          <t>Workshop</t>
        </is>
      </c>
      <c r="F149" s="7" t="inlineStr">
        <is>
          <t>Hot glue gun + stick refills</t>
        </is>
      </c>
      <c r="G149" s="7" t="n">
        <v>1</v>
      </c>
      <c r="H149" s="7" t="inlineStr">
        <is>
          <t>ea</t>
        </is>
      </c>
      <c r="I149" s="8" t="n">
        <v>15</v>
      </c>
      <c r="J149" s="8">
        <f>IF(G149="","",G149*I149)</f>
        <v/>
      </c>
      <c r="K149" s="7" t="inlineStr">
        <is>
          <t>Amazon / local hardware</t>
        </is>
      </c>
      <c r="L149" s="7" t="inlineStr">
        <is>
          <t>Optional</t>
        </is>
      </c>
      <c r="M149" s="7" t="inlineStr">
        <is>
          <t>In Stock</t>
        </is>
      </c>
    </row>
    <row r="150" ht="18" customHeight="1">
      <c r="A150" s="7" t="n">
        <v>106</v>
      </c>
      <c r="B150" s="7" t="inlineStr">
        <is>
          <t>Silicone RTV Sealant Clear 80ml</t>
        </is>
      </c>
      <c r="C150" s="7" t="inlineStr">
        <is>
          <t>Clear RTV for waterproofing sensor ports</t>
        </is>
      </c>
      <c r="D150" s="7" t="inlineStr">
        <is>
          <t>Consumables</t>
        </is>
      </c>
      <c r="E150" s="7" t="inlineStr">
        <is>
          <t>Workshop</t>
        </is>
      </c>
      <c r="F150" s="7" t="inlineStr">
        <is>
          <t>Clear silicone RTV, 80ml</t>
        </is>
      </c>
      <c r="G150" s="7" t="n">
        <v>1</v>
      </c>
      <c r="H150" s="7" t="inlineStr">
        <is>
          <t>tube</t>
        </is>
      </c>
      <c r="I150" s="8" t="n">
        <v>14</v>
      </c>
      <c r="J150" s="8">
        <f>IF(G150="","",G150*I150)</f>
        <v/>
      </c>
      <c r="K150" s="7" t="inlineStr">
        <is>
          <t>Amazon / local hardware</t>
        </is>
      </c>
      <c r="L150" s="7" t="inlineStr">
        <is>
          <t>Recommended</t>
        </is>
      </c>
      <c r="M150" s="7" t="inlineStr">
        <is>
          <t>To Order</t>
        </is>
      </c>
    </row>
    <row r="151">
      <c r="A151" s="9" t="inlineStr">
        <is>
          <t>SUBTOTAL — Consumables &amp; Workshop Supplies</t>
        </is>
      </c>
      <c r="B151" s="15" t="n"/>
      <c r="C151" s="15" t="n"/>
      <c r="D151" s="15" t="n"/>
      <c r="E151" s="15" t="n"/>
      <c r="F151" s="16" t="n"/>
      <c r="G151" s="9" t="n"/>
      <c r="H151" s="9" t="n"/>
      <c r="I151" s="10" t="n"/>
      <c r="J151" s="11">
        <f>SUM(J133:J150)</f>
        <v/>
      </c>
      <c r="K151" s="9" t="n"/>
      <c r="L151" s="9" t="n"/>
      <c r="M151" s="9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8" t="n"/>
      <c r="J152" s="8" t="n"/>
      <c r="K152" s="7" t="n"/>
      <c r="L152" s="7" t="n"/>
      <c r="M152" s="7" t="n"/>
    </row>
    <row r="153" ht="26" customHeight="1">
      <c r="A153" s="13" t="inlineStr">
        <is>
          <t>GRAND TOTAL — ALL SECTIONS</t>
        </is>
      </c>
      <c r="B153" s="15" t="n"/>
      <c r="C153" s="15" t="n"/>
      <c r="D153" s="15" t="n"/>
      <c r="E153" s="15" t="n"/>
      <c r="F153" s="15" t="n"/>
      <c r="G153" s="15" t="n"/>
      <c r="H153" s="15" t="n"/>
      <c r="I153" s="16" t="n"/>
      <c r="J153" s="13">
        <f>SUM(J22,J32,J45,J64,J76,J87,J97,J108,J116,J129,J151)</f>
        <v/>
      </c>
      <c r="K153" s="14" t="n"/>
      <c r="L153" s="14" t="n"/>
      <c r="M153" s="14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8" t="n"/>
      <c r="J154" s="8" t="n"/>
      <c r="K154" s="7" t="n"/>
      <c r="L154" s="7" t="n"/>
      <c r="M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8" t="n"/>
      <c r="J155" s="8" t="n"/>
      <c r="K155" s="7" t="n"/>
      <c r="L155" s="7" t="n"/>
      <c r="M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8" t="n"/>
      <c r="J156" s="8" t="n"/>
      <c r="K156" s="7" t="n"/>
      <c r="L156" s="7" t="n"/>
      <c r="M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8" t="n"/>
      <c r="J157" s="8" t="n"/>
      <c r="K157" s="7" t="n"/>
      <c r="L157" s="7" t="n"/>
      <c r="M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8" t="n"/>
      <c r="J158" s="8" t="n"/>
      <c r="K158" s="7" t="n"/>
      <c r="L158" s="7" t="n"/>
      <c r="M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8" t="n"/>
      <c r="J159" s="8" t="n"/>
      <c r="K159" s="7" t="n"/>
      <c r="L159" s="7" t="n"/>
      <c r="M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8" t="n"/>
      <c r="J160" s="8" t="n"/>
      <c r="K160" s="7" t="n"/>
      <c r="L160" s="7" t="n"/>
      <c r="M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8" t="n"/>
      <c r="J161" s="8" t="n"/>
      <c r="K161" s="7" t="n"/>
      <c r="L161" s="7" t="n"/>
      <c r="M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8" t="n"/>
      <c r="J162" s="8" t="n"/>
      <c r="K162" s="7" t="n"/>
      <c r="L162" s="7" t="n"/>
      <c r="M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8" t="n"/>
      <c r="J163" s="8" t="n"/>
      <c r="K163" s="7" t="n"/>
      <c r="L163" s="7" t="n"/>
      <c r="M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8" t="n"/>
      <c r="J164" s="8" t="n"/>
      <c r="K164" s="7" t="n"/>
      <c r="L164" s="7" t="n"/>
      <c r="M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8" t="n"/>
      <c r="J165" s="8" t="n"/>
      <c r="K165" s="7" t="n"/>
      <c r="L165" s="7" t="n"/>
      <c r="M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8" t="n"/>
      <c r="J166" s="8" t="n"/>
      <c r="K166" s="7" t="n"/>
      <c r="L166" s="7" t="n"/>
      <c r="M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8" t="n"/>
      <c r="J167" s="8" t="n"/>
      <c r="K167" s="7" t="n"/>
      <c r="L167" s="7" t="n"/>
      <c r="M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8" t="n"/>
      <c r="J168" s="8" t="n"/>
      <c r="K168" s="7" t="n"/>
      <c r="L168" s="7" t="n"/>
      <c r="M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8" t="n"/>
      <c r="J169" s="8" t="n"/>
      <c r="K169" s="7" t="n"/>
      <c r="L169" s="7" t="n"/>
      <c r="M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8" t="n"/>
      <c r="J170" s="8" t="n"/>
      <c r="K170" s="7" t="n"/>
      <c r="L170" s="7" t="n"/>
      <c r="M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8" t="n"/>
      <c r="J171" s="8" t="n"/>
      <c r="K171" s="7" t="n"/>
      <c r="L171" s="7" t="n"/>
      <c r="M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8" t="n"/>
      <c r="J172" s="8" t="n"/>
      <c r="K172" s="7" t="n"/>
      <c r="L172" s="7" t="n"/>
      <c r="M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8" t="n"/>
      <c r="J173" s="8" t="n"/>
      <c r="K173" s="7" t="n"/>
      <c r="L173" s="7" t="n"/>
      <c r="M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8" t="n"/>
      <c r="J174" s="8" t="n"/>
      <c r="K174" s="7" t="n"/>
      <c r="L174" s="7" t="n"/>
      <c r="M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8" t="n"/>
      <c r="J175" s="8" t="n"/>
      <c r="K175" s="7" t="n"/>
      <c r="L175" s="7" t="n"/>
      <c r="M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8" t="n"/>
      <c r="J176" s="8" t="n"/>
      <c r="K176" s="7" t="n"/>
      <c r="L176" s="7" t="n"/>
      <c r="M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8" t="n"/>
      <c r="J177" s="8" t="n"/>
      <c r="K177" s="7" t="n"/>
      <c r="L177" s="7" t="n"/>
      <c r="M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8" t="n"/>
      <c r="J178" s="8" t="n"/>
      <c r="K178" s="7" t="n"/>
      <c r="L178" s="7" t="n"/>
      <c r="M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8" t="n"/>
      <c r="J179" s="8" t="n"/>
      <c r="K179" s="7" t="n"/>
      <c r="L179" s="7" t="n"/>
      <c r="M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8" t="n"/>
      <c r="J180" s="8" t="n"/>
      <c r="K180" s="7" t="n"/>
      <c r="L180" s="7" t="n"/>
      <c r="M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8" t="n"/>
      <c r="J181" s="8" t="n"/>
      <c r="K181" s="7" t="n"/>
      <c r="L181" s="7" t="n"/>
      <c r="M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8" t="n"/>
      <c r="J182" s="8" t="n"/>
      <c r="K182" s="7" t="n"/>
      <c r="L182" s="7" t="n"/>
      <c r="M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8" t="n"/>
      <c r="J183" s="8" t="n"/>
      <c r="K183" s="7" t="n"/>
      <c r="L183" s="7" t="n"/>
      <c r="M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8" t="n"/>
      <c r="J184" s="8" t="n"/>
      <c r="K184" s="7" t="n"/>
      <c r="L184" s="7" t="n"/>
      <c r="M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8" t="n"/>
      <c r="J185" s="8" t="n"/>
      <c r="K185" s="7" t="n"/>
      <c r="L185" s="7" t="n"/>
      <c r="M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8" t="n"/>
      <c r="J186" s="8" t="n"/>
      <c r="K186" s="7" t="n"/>
      <c r="L186" s="7" t="n"/>
      <c r="M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8" t="n"/>
      <c r="J187" s="8" t="n"/>
      <c r="K187" s="7" t="n"/>
      <c r="L187" s="7" t="n"/>
      <c r="M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8" t="n"/>
      <c r="J188" s="8" t="n"/>
      <c r="K188" s="7" t="n"/>
      <c r="L188" s="7" t="n"/>
      <c r="M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8" t="n"/>
      <c r="J189" s="8" t="n"/>
      <c r="K189" s="7" t="n"/>
      <c r="L189" s="7" t="n"/>
      <c r="M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8" t="n"/>
      <c r="J190" s="8" t="n"/>
      <c r="K190" s="7" t="n"/>
      <c r="L190" s="7" t="n"/>
      <c r="M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8" t="n"/>
      <c r="J191" s="8" t="n"/>
      <c r="K191" s="7" t="n"/>
      <c r="L191" s="7" t="n"/>
      <c r="M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8" t="n"/>
      <c r="J192" s="8" t="n"/>
      <c r="K192" s="7" t="n"/>
      <c r="L192" s="7" t="n"/>
      <c r="M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8" t="n"/>
      <c r="J193" s="8" t="n"/>
      <c r="K193" s="7" t="n"/>
      <c r="L193" s="7" t="n"/>
      <c r="M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8" t="n"/>
      <c r="J194" s="8" t="n"/>
      <c r="K194" s="7" t="n"/>
      <c r="L194" s="7" t="n"/>
      <c r="M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8" t="n"/>
      <c r="J195" s="8" t="n"/>
      <c r="K195" s="7" t="n"/>
      <c r="L195" s="7" t="n"/>
      <c r="M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8" t="n"/>
      <c r="J196" s="8" t="n"/>
      <c r="K196" s="7" t="n"/>
      <c r="L196" s="7" t="n"/>
      <c r="M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8" t="n"/>
      <c r="J197" s="8" t="n"/>
      <c r="K197" s="7" t="n"/>
      <c r="L197" s="7" t="n"/>
      <c r="M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8" t="n"/>
      <c r="J198" s="8" t="n"/>
      <c r="K198" s="7" t="n"/>
      <c r="L198" s="7" t="n"/>
      <c r="M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8" t="n"/>
      <c r="J199" s="8" t="n"/>
      <c r="K199" s="7" t="n"/>
      <c r="L199" s="7" t="n"/>
      <c r="M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8" t="n"/>
      <c r="J200" s="8" t="n"/>
      <c r="K200" s="7" t="n"/>
      <c r="L200" s="7" t="n"/>
      <c r="M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8" t="n"/>
      <c r="J201" s="8" t="n"/>
      <c r="K201" s="7" t="n"/>
      <c r="L201" s="7" t="n"/>
      <c r="M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8" t="n"/>
      <c r="J202" s="8" t="n"/>
      <c r="K202" s="7" t="n"/>
      <c r="L202" s="7" t="n"/>
      <c r="M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8" t="n"/>
      <c r="J203" s="8" t="n"/>
      <c r="K203" s="7" t="n"/>
      <c r="L203" s="7" t="n"/>
      <c r="M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8" t="n"/>
      <c r="J204" s="8" t="n"/>
      <c r="K204" s="7" t="n"/>
      <c r="L204" s="7" t="n"/>
      <c r="M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8" t="n"/>
      <c r="J205" s="8" t="n"/>
      <c r="K205" s="7" t="n"/>
      <c r="L205" s="7" t="n"/>
      <c r="M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8" t="n"/>
      <c r="J206" s="8" t="n"/>
      <c r="K206" s="7" t="n"/>
      <c r="L206" s="7" t="n"/>
      <c r="M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8" t="n"/>
      <c r="J207" s="8" t="n"/>
      <c r="K207" s="7" t="n"/>
      <c r="L207" s="7" t="n"/>
      <c r="M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8" t="n"/>
      <c r="J208" s="8" t="n"/>
      <c r="K208" s="7" t="n"/>
      <c r="L208" s="7" t="n"/>
      <c r="M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8" t="n"/>
      <c r="J209" s="8" t="n"/>
      <c r="K209" s="7" t="n"/>
      <c r="L209" s="7" t="n"/>
      <c r="M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8" t="n"/>
      <c r="J210" s="8" t="n"/>
      <c r="K210" s="7" t="n"/>
      <c r="L210" s="7" t="n"/>
      <c r="M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8" t="n"/>
      <c r="J211" s="8" t="n"/>
      <c r="K211" s="7" t="n"/>
      <c r="L211" s="7" t="n"/>
      <c r="M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8" t="n"/>
      <c r="J212" s="8" t="n"/>
      <c r="K212" s="7" t="n"/>
      <c r="L212" s="7" t="n"/>
      <c r="M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8" t="n"/>
      <c r="J213" s="8" t="n"/>
      <c r="K213" s="7" t="n"/>
      <c r="L213" s="7" t="n"/>
      <c r="M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8" t="n"/>
      <c r="J214" s="8" t="n"/>
      <c r="K214" s="7" t="n"/>
      <c r="L214" s="7" t="n"/>
      <c r="M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8" t="n"/>
      <c r="J215" s="8" t="n"/>
      <c r="K215" s="7" t="n"/>
      <c r="L215" s="7" t="n"/>
      <c r="M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8" t="n"/>
      <c r="J216" s="8" t="n"/>
      <c r="K216" s="7" t="n"/>
      <c r="L216" s="7" t="n"/>
      <c r="M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8" t="n"/>
      <c r="J217" s="8" t="n"/>
      <c r="K217" s="7" t="n"/>
      <c r="L217" s="7" t="n"/>
      <c r="M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8" t="n"/>
      <c r="J218" s="8" t="n"/>
      <c r="K218" s="7" t="n"/>
      <c r="L218" s="7" t="n"/>
      <c r="M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8" t="n"/>
      <c r="J219" s="8" t="n"/>
      <c r="K219" s="7" t="n"/>
      <c r="L219" s="7" t="n"/>
      <c r="M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8" t="n"/>
      <c r="J220" s="8" t="n"/>
      <c r="K220" s="7" t="n"/>
      <c r="L220" s="7" t="n"/>
      <c r="M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8" t="n"/>
      <c r="J221" s="8" t="n"/>
      <c r="K221" s="7" t="n"/>
      <c r="L221" s="7" t="n"/>
      <c r="M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8" t="n"/>
      <c r="J222" s="8" t="n"/>
      <c r="K222" s="7" t="n"/>
      <c r="L222" s="7" t="n"/>
      <c r="M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8" t="n"/>
      <c r="J223" s="8" t="n"/>
      <c r="K223" s="7" t="n"/>
      <c r="L223" s="7" t="n"/>
      <c r="M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8" t="n"/>
      <c r="J224" s="8" t="n"/>
      <c r="K224" s="7" t="n"/>
      <c r="L224" s="7" t="n"/>
      <c r="M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8" t="n"/>
      <c r="J225" s="8" t="n"/>
      <c r="K225" s="7" t="n"/>
      <c r="L225" s="7" t="n"/>
      <c r="M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8" t="n"/>
      <c r="J226" s="8" t="n"/>
      <c r="K226" s="7" t="n"/>
      <c r="L226" s="7" t="n"/>
      <c r="M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8" t="n"/>
      <c r="J227" s="8" t="n"/>
      <c r="K227" s="7" t="n"/>
      <c r="L227" s="7" t="n"/>
      <c r="M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8" t="n"/>
      <c r="J228" s="8" t="n"/>
      <c r="K228" s="7" t="n"/>
      <c r="L228" s="7" t="n"/>
      <c r="M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8" t="n"/>
      <c r="J229" s="8" t="n"/>
      <c r="K229" s="7" t="n"/>
      <c r="L229" s="7" t="n"/>
      <c r="M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8" t="n"/>
      <c r="J230" s="8" t="n"/>
      <c r="K230" s="7" t="n"/>
      <c r="L230" s="7" t="n"/>
      <c r="M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8" t="n"/>
      <c r="J231" s="8" t="n"/>
      <c r="K231" s="7" t="n"/>
      <c r="L231" s="7" t="n"/>
      <c r="M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8" t="n"/>
      <c r="J232" s="8" t="n"/>
      <c r="K232" s="7" t="n"/>
      <c r="L232" s="7" t="n"/>
      <c r="M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8" t="n"/>
      <c r="J233" s="8" t="n"/>
      <c r="K233" s="7" t="n"/>
      <c r="L233" s="7" t="n"/>
      <c r="M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8" t="n"/>
      <c r="J234" s="8" t="n"/>
      <c r="K234" s="7" t="n"/>
      <c r="L234" s="7" t="n"/>
      <c r="M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8" t="n"/>
      <c r="J235" s="8" t="n"/>
      <c r="K235" s="7" t="n"/>
      <c r="L235" s="7" t="n"/>
      <c r="M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8" t="n"/>
      <c r="J236" s="8" t="n"/>
      <c r="K236" s="7" t="n"/>
      <c r="L236" s="7" t="n"/>
      <c r="M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8" t="n"/>
      <c r="J237" s="8" t="n"/>
      <c r="K237" s="7" t="n"/>
      <c r="L237" s="7" t="n"/>
      <c r="M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8" t="n"/>
      <c r="J238" s="8" t="n"/>
      <c r="K238" s="7" t="n"/>
      <c r="L238" s="7" t="n"/>
      <c r="M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8" t="n"/>
      <c r="J239" s="8" t="n"/>
      <c r="K239" s="7" t="n"/>
      <c r="L239" s="7" t="n"/>
      <c r="M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8" t="n"/>
      <c r="J240" s="8" t="n"/>
      <c r="K240" s="7" t="n"/>
      <c r="L240" s="7" t="n"/>
      <c r="M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8" t="n"/>
      <c r="J241" s="8" t="n"/>
      <c r="K241" s="7" t="n"/>
      <c r="L241" s="7" t="n"/>
      <c r="M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8" t="n"/>
      <c r="J242" s="8" t="n"/>
      <c r="K242" s="7" t="n"/>
      <c r="L242" s="7" t="n"/>
      <c r="M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8" t="n"/>
      <c r="J243" s="8" t="n"/>
      <c r="K243" s="7" t="n"/>
      <c r="L243" s="7" t="n"/>
      <c r="M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8" t="n"/>
      <c r="J244" s="8" t="n"/>
      <c r="K244" s="7" t="n"/>
      <c r="L244" s="7" t="n"/>
      <c r="M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8" t="n"/>
      <c r="J245" s="8" t="n"/>
      <c r="K245" s="7" t="n"/>
      <c r="L245" s="7" t="n"/>
      <c r="M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8" t="n"/>
      <c r="J246" s="8" t="n"/>
      <c r="K246" s="7" t="n"/>
      <c r="L246" s="7" t="n"/>
      <c r="M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8" t="n"/>
      <c r="J247" s="8" t="n"/>
      <c r="K247" s="7" t="n"/>
      <c r="L247" s="7" t="n"/>
      <c r="M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8" t="n"/>
      <c r="J248" s="8" t="n"/>
      <c r="K248" s="7" t="n"/>
      <c r="L248" s="7" t="n"/>
      <c r="M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8" t="n"/>
      <c r="J249" s="8" t="n"/>
      <c r="K249" s="7" t="n"/>
      <c r="L249" s="7" t="n"/>
      <c r="M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8" t="n"/>
      <c r="J250" s="8" t="n"/>
      <c r="K250" s="7" t="n"/>
      <c r="L250" s="7" t="n"/>
      <c r="M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8" t="n"/>
      <c r="J251" s="8" t="n"/>
      <c r="K251" s="7" t="n"/>
      <c r="L251" s="7" t="n"/>
      <c r="M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8" t="n"/>
      <c r="J252" s="8" t="n"/>
      <c r="K252" s="7" t="n"/>
      <c r="L252" s="7" t="n"/>
      <c r="M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8" t="n"/>
      <c r="J253" s="8" t="n"/>
      <c r="K253" s="7" t="n"/>
      <c r="L253" s="7" t="n"/>
      <c r="M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8" t="n"/>
      <c r="J254" s="8" t="n"/>
      <c r="K254" s="7" t="n"/>
      <c r="L254" s="7" t="n"/>
      <c r="M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8" t="n"/>
      <c r="J255" s="8" t="n"/>
      <c r="K255" s="7" t="n"/>
      <c r="L255" s="7" t="n"/>
      <c r="M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8" t="n"/>
      <c r="J256" s="8" t="n"/>
      <c r="K256" s="7" t="n"/>
      <c r="L256" s="7" t="n"/>
      <c r="M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8" t="n"/>
      <c r="J257" s="8" t="n"/>
      <c r="K257" s="7" t="n"/>
      <c r="L257" s="7" t="n"/>
      <c r="M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8" t="n"/>
      <c r="J258" s="8" t="n"/>
      <c r="K258" s="7" t="n"/>
      <c r="L258" s="7" t="n"/>
      <c r="M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8" t="n"/>
      <c r="J259" s="8" t="n"/>
      <c r="K259" s="7" t="n"/>
      <c r="L259" s="7" t="n"/>
      <c r="M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8" t="n"/>
      <c r="J260" s="8" t="n"/>
      <c r="K260" s="7" t="n"/>
      <c r="L260" s="7" t="n"/>
      <c r="M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8" t="n"/>
      <c r="J261" s="8" t="n"/>
      <c r="K261" s="7" t="n"/>
      <c r="L261" s="7" t="n"/>
      <c r="M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8" t="n"/>
      <c r="J262" s="8" t="n"/>
      <c r="K262" s="7" t="n"/>
      <c r="L262" s="7" t="n"/>
      <c r="M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8" t="n"/>
      <c r="J263" s="8" t="n"/>
      <c r="K263" s="7" t="n"/>
      <c r="L263" s="7" t="n"/>
      <c r="M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8" t="n"/>
      <c r="J264" s="8" t="n"/>
      <c r="K264" s="7" t="n"/>
      <c r="L264" s="7" t="n"/>
      <c r="M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8" t="n"/>
      <c r="J265" s="8" t="n"/>
      <c r="K265" s="7" t="n"/>
      <c r="L265" s="7" t="n"/>
      <c r="M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8" t="n"/>
      <c r="J266" s="8" t="n"/>
      <c r="K266" s="7" t="n"/>
      <c r="L266" s="7" t="n"/>
      <c r="M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8" t="n"/>
      <c r="J267" s="8" t="n"/>
      <c r="K267" s="7" t="n"/>
      <c r="L267" s="7" t="n"/>
      <c r="M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8" t="n"/>
      <c r="J268" s="8" t="n"/>
      <c r="K268" s="7" t="n"/>
      <c r="L268" s="7" t="n"/>
      <c r="M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8" t="n"/>
      <c r="J269" s="8" t="n"/>
      <c r="K269" s="7" t="n"/>
      <c r="L269" s="7" t="n"/>
      <c r="M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8" t="n"/>
      <c r="J270" s="8" t="n"/>
      <c r="K270" s="7" t="n"/>
      <c r="L270" s="7" t="n"/>
      <c r="M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8" t="n"/>
      <c r="J271" s="8" t="n"/>
      <c r="K271" s="7" t="n"/>
      <c r="L271" s="7" t="n"/>
      <c r="M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8" t="n"/>
      <c r="J272" s="8" t="n"/>
      <c r="K272" s="7" t="n"/>
      <c r="L272" s="7" t="n"/>
      <c r="M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8" t="n"/>
      <c r="J273" s="8" t="n"/>
      <c r="K273" s="7" t="n"/>
      <c r="L273" s="7" t="n"/>
      <c r="M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8" t="n"/>
      <c r="J274" s="8" t="n"/>
      <c r="K274" s="7" t="n"/>
      <c r="L274" s="7" t="n"/>
      <c r="M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8" t="n"/>
      <c r="J275" s="8" t="n"/>
      <c r="K275" s="7" t="n"/>
      <c r="L275" s="7" t="n"/>
      <c r="M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8" t="n"/>
      <c r="J276" s="8" t="n"/>
      <c r="K276" s="7" t="n"/>
      <c r="L276" s="7" t="n"/>
      <c r="M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8" t="n"/>
      <c r="J277" s="8" t="n"/>
      <c r="K277" s="7" t="n"/>
      <c r="L277" s="7" t="n"/>
      <c r="M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8" t="n"/>
      <c r="J278" s="8" t="n"/>
      <c r="K278" s="7" t="n"/>
      <c r="L278" s="7" t="n"/>
      <c r="M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8" t="n"/>
      <c r="J279" s="8" t="n"/>
      <c r="K279" s="7" t="n"/>
      <c r="L279" s="7" t="n"/>
      <c r="M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8" t="n"/>
      <c r="J280" s="8" t="n"/>
      <c r="K280" s="7" t="n"/>
      <c r="L280" s="7" t="n"/>
      <c r="M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8" t="n"/>
      <c r="J281" s="8" t="n"/>
      <c r="K281" s="7" t="n"/>
      <c r="L281" s="7" t="n"/>
      <c r="M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8" t="n"/>
      <c r="J282" s="8" t="n"/>
      <c r="K282" s="7" t="n"/>
      <c r="L282" s="7" t="n"/>
      <c r="M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8" t="n"/>
      <c r="J283" s="8" t="n"/>
      <c r="K283" s="7" t="n"/>
      <c r="L283" s="7" t="n"/>
      <c r="M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8" t="n"/>
      <c r="J284" s="8" t="n"/>
      <c r="K284" s="7" t="n"/>
      <c r="L284" s="7" t="n"/>
      <c r="M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8" t="n"/>
      <c r="J285" s="8" t="n"/>
      <c r="K285" s="7" t="n"/>
      <c r="L285" s="7" t="n"/>
      <c r="M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8" t="n"/>
      <c r="J286" s="8" t="n"/>
      <c r="K286" s="7" t="n"/>
      <c r="L286" s="7" t="n"/>
      <c r="M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8" t="n"/>
      <c r="J287" s="8" t="n"/>
      <c r="K287" s="7" t="n"/>
      <c r="L287" s="7" t="n"/>
      <c r="M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8" t="n"/>
      <c r="J288" s="8" t="n"/>
      <c r="K288" s="7" t="n"/>
      <c r="L288" s="7" t="n"/>
      <c r="M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8" t="n"/>
      <c r="J289" s="8" t="n"/>
      <c r="K289" s="7" t="n"/>
      <c r="L289" s="7" t="n"/>
      <c r="M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8" t="n"/>
      <c r="J290" s="8" t="n"/>
      <c r="K290" s="7" t="n"/>
      <c r="L290" s="7" t="n"/>
      <c r="M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8" t="n"/>
      <c r="J291" s="8" t="n"/>
      <c r="K291" s="7" t="n"/>
      <c r="L291" s="7" t="n"/>
      <c r="M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8" t="n"/>
      <c r="J292" s="8" t="n"/>
      <c r="K292" s="7" t="n"/>
      <c r="L292" s="7" t="n"/>
      <c r="M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8" t="n"/>
      <c r="J293" s="8" t="n"/>
      <c r="K293" s="7" t="n"/>
      <c r="L293" s="7" t="n"/>
      <c r="M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8" t="n"/>
      <c r="J294" s="8" t="n"/>
      <c r="K294" s="7" t="n"/>
      <c r="L294" s="7" t="n"/>
      <c r="M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8" t="n"/>
      <c r="J295" s="8" t="n"/>
      <c r="K295" s="7" t="n"/>
      <c r="L295" s="7" t="n"/>
      <c r="M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8" t="n"/>
      <c r="J296" s="8" t="n"/>
      <c r="K296" s="7" t="n"/>
      <c r="L296" s="7" t="n"/>
      <c r="M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8" t="n"/>
      <c r="J297" s="8" t="n"/>
      <c r="K297" s="7" t="n"/>
      <c r="L297" s="7" t="n"/>
      <c r="M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8" t="n"/>
      <c r="J298" s="8" t="n"/>
      <c r="K298" s="7" t="n"/>
      <c r="L298" s="7" t="n"/>
      <c r="M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8" t="n"/>
      <c r="J299" s="8" t="n"/>
      <c r="K299" s="7" t="n"/>
      <c r="L299" s="7" t="n"/>
      <c r="M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8" t="n"/>
      <c r="J300" s="8" t="n"/>
      <c r="K300" s="7" t="n"/>
      <c r="L300" s="7" t="n"/>
      <c r="M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8" t="n"/>
      <c r="J301" s="8" t="n"/>
      <c r="K301" s="7" t="n"/>
      <c r="L301" s="7" t="n"/>
      <c r="M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8" t="n"/>
      <c r="J302" s="8" t="n"/>
      <c r="K302" s="7" t="n"/>
      <c r="L302" s="7" t="n"/>
      <c r="M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8" t="n"/>
      <c r="J303" s="8" t="n"/>
      <c r="K303" s="7" t="n"/>
      <c r="L303" s="7" t="n"/>
      <c r="M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8" t="n"/>
      <c r="J304" s="8" t="n"/>
      <c r="K304" s="7" t="n"/>
      <c r="L304" s="7" t="n"/>
      <c r="M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8" t="n"/>
      <c r="J305" s="8" t="n"/>
      <c r="K305" s="7" t="n"/>
      <c r="L305" s="7" t="n"/>
      <c r="M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8" t="n"/>
      <c r="J306" s="8" t="n"/>
      <c r="K306" s="7" t="n"/>
      <c r="L306" s="7" t="n"/>
      <c r="M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8" t="n"/>
      <c r="J307" s="8" t="n"/>
      <c r="K307" s="7" t="n"/>
      <c r="L307" s="7" t="n"/>
      <c r="M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8" t="n"/>
      <c r="J308" s="8" t="n"/>
      <c r="K308" s="7" t="n"/>
      <c r="L308" s="7" t="n"/>
      <c r="M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8" t="n"/>
      <c r="J309" s="8" t="n"/>
      <c r="K309" s="7" t="n"/>
      <c r="L309" s="7" t="n"/>
      <c r="M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8" t="n"/>
      <c r="J310" s="8" t="n"/>
      <c r="K310" s="7" t="n"/>
      <c r="L310" s="7" t="n"/>
      <c r="M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8" t="n"/>
      <c r="J311" s="8" t="n"/>
      <c r="K311" s="7" t="n"/>
      <c r="L311" s="7" t="n"/>
      <c r="M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8" t="n"/>
      <c r="J312" s="8" t="n"/>
      <c r="K312" s="7" t="n"/>
      <c r="L312" s="7" t="n"/>
      <c r="M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8" t="n"/>
      <c r="J313" s="8" t="n"/>
      <c r="K313" s="7" t="n"/>
      <c r="L313" s="7" t="n"/>
      <c r="M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8" t="n"/>
      <c r="J314" s="8" t="n"/>
      <c r="K314" s="7" t="n"/>
      <c r="L314" s="7" t="n"/>
      <c r="M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8" t="n"/>
      <c r="J315" s="8" t="n"/>
      <c r="K315" s="7" t="n"/>
      <c r="L315" s="7" t="n"/>
      <c r="M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8" t="n"/>
      <c r="J316" s="8" t="n"/>
      <c r="K316" s="7" t="n"/>
      <c r="L316" s="7" t="n"/>
      <c r="M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8" t="n"/>
      <c r="J317" s="8" t="n"/>
      <c r="K317" s="7" t="n"/>
      <c r="L317" s="7" t="n"/>
      <c r="M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8" t="n"/>
      <c r="J318" s="8" t="n"/>
      <c r="K318" s="7" t="n"/>
      <c r="L318" s="7" t="n"/>
      <c r="M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8" t="n"/>
      <c r="J319" s="8" t="n"/>
      <c r="K319" s="7" t="n"/>
      <c r="L319" s="7" t="n"/>
      <c r="M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8" t="n"/>
      <c r="J320" s="8" t="n"/>
      <c r="K320" s="7" t="n"/>
      <c r="L320" s="7" t="n"/>
      <c r="M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8" t="n"/>
      <c r="J321" s="8" t="n"/>
      <c r="K321" s="7" t="n"/>
      <c r="L321" s="7" t="n"/>
      <c r="M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8" t="n"/>
      <c r="J322" s="8" t="n"/>
      <c r="K322" s="7" t="n"/>
      <c r="L322" s="7" t="n"/>
      <c r="M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8" t="n"/>
      <c r="J323" s="8" t="n"/>
      <c r="K323" s="7" t="n"/>
      <c r="L323" s="7" t="n"/>
      <c r="M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8" t="n"/>
      <c r="J324" s="8" t="n"/>
      <c r="K324" s="7" t="n"/>
      <c r="L324" s="7" t="n"/>
      <c r="M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8" t="n"/>
      <c r="J325" s="8" t="n"/>
      <c r="K325" s="7" t="n"/>
      <c r="L325" s="7" t="n"/>
      <c r="M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8" t="n"/>
      <c r="J326" s="8" t="n"/>
      <c r="K326" s="7" t="n"/>
      <c r="L326" s="7" t="n"/>
      <c r="M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8" t="n"/>
      <c r="J327" s="8" t="n"/>
      <c r="K327" s="7" t="n"/>
      <c r="L327" s="7" t="n"/>
      <c r="M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8" t="n"/>
      <c r="J328" s="8" t="n"/>
      <c r="K328" s="7" t="n"/>
      <c r="L328" s="7" t="n"/>
      <c r="M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8" t="n"/>
      <c r="J329" s="8" t="n"/>
      <c r="K329" s="7" t="n"/>
      <c r="L329" s="7" t="n"/>
      <c r="M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8" t="n"/>
      <c r="J330" s="8" t="n"/>
      <c r="K330" s="7" t="n"/>
      <c r="L330" s="7" t="n"/>
      <c r="M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8" t="n"/>
      <c r="J331" s="8" t="n"/>
      <c r="K331" s="7" t="n"/>
      <c r="L331" s="7" t="n"/>
      <c r="M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8" t="n"/>
      <c r="J332" s="8" t="n"/>
      <c r="K332" s="7" t="n"/>
      <c r="L332" s="7" t="n"/>
      <c r="M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8" t="n"/>
      <c r="J333" s="8" t="n"/>
      <c r="K333" s="7" t="n"/>
      <c r="L333" s="7" t="n"/>
      <c r="M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8" t="n"/>
      <c r="J334" s="8" t="n"/>
      <c r="K334" s="7" t="n"/>
      <c r="L334" s="7" t="n"/>
      <c r="M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8" t="n"/>
      <c r="J335" s="8" t="n"/>
      <c r="K335" s="7" t="n"/>
      <c r="L335" s="7" t="n"/>
      <c r="M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8" t="n"/>
      <c r="J336" s="8" t="n"/>
      <c r="K336" s="7" t="n"/>
      <c r="L336" s="7" t="n"/>
      <c r="M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8" t="n"/>
      <c r="J337" s="8" t="n"/>
      <c r="K337" s="7" t="n"/>
      <c r="L337" s="7" t="n"/>
      <c r="M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8" t="n"/>
      <c r="J338" s="8" t="n"/>
      <c r="K338" s="7" t="n"/>
      <c r="L338" s="7" t="n"/>
      <c r="M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8" t="n"/>
      <c r="J339" s="8" t="n"/>
      <c r="K339" s="7" t="n"/>
      <c r="L339" s="7" t="n"/>
      <c r="M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8" t="n"/>
      <c r="J340" s="8" t="n"/>
      <c r="K340" s="7" t="n"/>
      <c r="L340" s="7" t="n"/>
      <c r="M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8" t="n"/>
      <c r="J341" s="8" t="n"/>
      <c r="K341" s="7" t="n"/>
      <c r="L341" s="7" t="n"/>
      <c r="M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8" t="n"/>
      <c r="J342" s="8" t="n"/>
      <c r="K342" s="7" t="n"/>
      <c r="L342" s="7" t="n"/>
      <c r="M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8" t="n"/>
      <c r="J343" s="8" t="n"/>
      <c r="K343" s="7" t="n"/>
      <c r="L343" s="7" t="n"/>
      <c r="M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8" t="n"/>
      <c r="J344" s="8" t="n"/>
      <c r="K344" s="7" t="n"/>
      <c r="L344" s="7" t="n"/>
      <c r="M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8" t="n"/>
      <c r="J345" s="8" t="n"/>
      <c r="K345" s="7" t="n"/>
      <c r="L345" s="7" t="n"/>
      <c r="M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8" t="n"/>
      <c r="J346" s="8" t="n"/>
      <c r="K346" s="7" t="n"/>
      <c r="L346" s="7" t="n"/>
      <c r="M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8" t="n"/>
      <c r="J347" s="8" t="n"/>
      <c r="K347" s="7" t="n"/>
      <c r="L347" s="7" t="n"/>
      <c r="M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8" t="n"/>
      <c r="J348" s="8" t="n"/>
      <c r="K348" s="7" t="n"/>
      <c r="L348" s="7" t="n"/>
      <c r="M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8" t="n"/>
      <c r="J349" s="8" t="n"/>
      <c r="K349" s="7" t="n"/>
      <c r="L349" s="7" t="n"/>
      <c r="M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8" t="n"/>
      <c r="J350" s="8" t="n"/>
      <c r="K350" s="7" t="n"/>
      <c r="L350" s="7" t="n"/>
      <c r="M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8" t="n"/>
      <c r="J351" s="8" t="n"/>
      <c r="K351" s="7" t="n"/>
      <c r="L351" s="7" t="n"/>
      <c r="M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8" t="n"/>
      <c r="J352" s="8" t="n"/>
      <c r="K352" s="7" t="n"/>
      <c r="L352" s="7" t="n"/>
      <c r="M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8" t="n"/>
      <c r="J353" s="8" t="n"/>
      <c r="K353" s="7" t="n"/>
      <c r="L353" s="7" t="n"/>
      <c r="M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8" t="n"/>
      <c r="J354" s="8" t="n"/>
      <c r="K354" s="7" t="n"/>
      <c r="L354" s="7" t="n"/>
      <c r="M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8" t="n"/>
      <c r="J355" s="8" t="n"/>
      <c r="K355" s="7" t="n"/>
      <c r="L355" s="7" t="n"/>
      <c r="M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8" t="n"/>
      <c r="J356" s="8" t="n"/>
      <c r="K356" s="7" t="n"/>
      <c r="L356" s="7" t="n"/>
      <c r="M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8" t="n"/>
      <c r="J357" s="8" t="n"/>
      <c r="K357" s="7" t="n"/>
      <c r="L357" s="7" t="n"/>
      <c r="M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8" t="n"/>
      <c r="J358" s="8" t="n"/>
      <c r="K358" s="7" t="n"/>
      <c r="L358" s="7" t="n"/>
      <c r="M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8" t="n"/>
      <c r="J359" s="8" t="n"/>
      <c r="K359" s="7" t="n"/>
      <c r="L359" s="7" t="n"/>
      <c r="M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8" t="n"/>
      <c r="J360" s="8" t="n"/>
      <c r="K360" s="7" t="n"/>
      <c r="L360" s="7" t="n"/>
      <c r="M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8" t="n"/>
      <c r="J361" s="8" t="n"/>
      <c r="K361" s="7" t="n"/>
      <c r="L361" s="7" t="n"/>
      <c r="M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8" t="n"/>
      <c r="J362" s="8" t="n"/>
      <c r="K362" s="7" t="n"/>
      <c r="L362" s="7" t="n"/>
      <c r="M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8" t="n"/>
      <c r="J363" s="8" t="n"/>
      <c r="K363" s="7" t="n"/>
      <c r="L363" s="7" t="n"/>
      <c r="M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8" t="n"/>
      <c r="J364" s="8" t="n"/>
      <c r="K364" s="7" t="n"/>
      <c r="L364" s="7" t="n"/>
      <c r="M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8" t="n"/>
      <c r="J365" s="8" t="n"/>
      <c r="K365" s="7" t="n"/>
      <c r="L365" s="7" t="n"/>
      <c r="M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8" t="n"/>
      <c r="J366" s="8" t="n"/>
      <c r="K366" s="7" t="n"/>
      <c r="L366" s="7" t="n"/>
      <c r="M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8" t="n"/>
      <c r="J367" s="8" t="n"/>
      <c r="K367" s="7" t="n"/>
      <c r="L367" s="7" t="n"/>
      <c r="M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8" t="n"/>
      <c r="J368" s="8" t="n"/>
      <c r="K368" s="7" t="n"/>
      <c r="L368" s="7" t="n"/>
      <c r="M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8" t="n"/>
      <c r="J369" s="8" t="n"/>
      <c r="K369" s="7" t="n"/>
      <c r="L369" s="7" t="n"/>
      <c r="M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8" t="n"/>
      <c r="J370" s="8" t="n"/>
      <c r="K370" s="7" t="n"/>
      <c r="L370" s="7" t="n"/>
      <c r="M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8" t="n"/>
      <c r="J371" s="8" t="n"/>
      <c r="K371" s="7" t="n"/>
      <c r="L371" s="7" t="n"/>
      <c r="M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8" t="n"/>
      <c r="J372" s="8" t="n"/>
      <c r="K372" s="7" t="n"/>
      <c r="L372" s="7" t="n"/>
      <c r="M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8" t="n"/>
      <c r="J373" s="8" t="n"/>
      <c r="K373" s="7" t="n"/>
      <c r="L373" s="7" t="n"/>
      <c r="M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8" t="n"/>
      <c r="J374" s="8" t="n"/>
      <c r="K374" s="7" t="n"/>
      <c r="L374" s="7" t="n"/>
      <c r="M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8" t="n"/>
      <c r="J375" s="8" t="n"/>
      <c r="K375" s="7" t="n"/>
      <c r="L375" s="7" t="n"/>
      <c r="M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8" t="n"/>
      <c r="J376" s="8" t="n"/>
      <c r="K376" s="7" t="n"/>
      <c r="L376" s="7" t="n"/>
      <c r="M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8" t="n"/>
      <c r="J377" s="8" t="n"/>
      <c r="K377" s="7" t="n"/>
      <c r="L377" s="7" t="n"/>
      <c r="M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8" t="n"/>
      <c r="J378" s="8" t="n"/>
      <c r="K378" s="7" t="n"/>
      <c r="L378" s="7" t="n"/>
      <c r="M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8" t="n"/>
      <c r="J379" s="8" t="n"/>
      <c r="K379" s="7" t="n"/>
      <c r="L379" s="7" t="n"/>
      <c r="M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8" t="n"/>
      <c r="J380" s="8" t="n"/>
      <c r="K380" s="7" t="n"/>
      <c r="L380" s="7" t="n"/>
      <c r="M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8" t="n"/>
      <c r="J381" s="8" t="n"/>
      <c r="K381" s="7" t="n"/>
      <c r="L381" s="7" t="n"/>
      <c r="M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8" t="n"/>
      <c r="J382" s="8" t="n"/>
      <c r="K382" s="7" t="n"/>
      <c r="L382" s="7" t="n"/>
      <c r="M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8" t="n"/>
      <c r="J383" s="8" t="n"/>
      <c r="K383" s="7" t="n"/>
      <c r="L383" s="7" t="n"/>
      <c r="M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8" t="n"/>
      <c r="J384" s="8" t="n"/>
      <c r="K384" s="7" t="n"/>
      <c r="L384" s="7" t="n"/>
      <c r="M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8" t="n"/>
      <c r="J385" s="8" t="n"/>
      <c r="K385" s="7" t="n"/>
      <c r="L385" s="7" t="n"/>
      <c r="M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8" t="n"/>
      <c r="J386" s="8" t="n"/>
      <c r="K386" s="7" t="n"/>
      <c r="L386" s="7" t="n"/>
      <c r="M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8" t="n"/>
      <c r="J387" s="8" t="n"/>
      <c r="K387" s="7" t="n"/>
      <c r="L387" s="7" t="n"/>
      <c r="M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8" t="n"/>
      <c r="J388" s="8" t="n"/>
      <c r="K388" s="7" t="n"/>
      <c r="L388" s="7" t="n"/>
      <c r="M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8" t="n"/>
      <c r="J389" s="8" t="n"/>
      <c r="K389" s="7" t="n"/>
      <c r="L389" s="7" t="n"/>
      <c r="M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8" t="n"/>
      <c r="J390" s="8" t="n"/>
      <c r="K390" s="7" t="n"/>
      <c r="L390" s="7" t="n"/>
      <c r="M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8" t="n"/>
      <c r="J391" s="8" t="n"/>
      <c r="K391" s="7" t="n"/>
      <c r="L391" s="7" t="n"/>
      <c r="M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8" t="n"/>
      <c r="J392" s="8" t="n"/>
      <c r="K392" s="7" t="n"/>
      <c r="L392" s="7" t="n"/>
      <c r="M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8" t="n"/>
      <c r="J393" s="8" t="n"/>
      <c r="K393" s="7" t="n"/>
      <c r="L393" s="7" t="n"/>
      <c r="M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8" t="n"/>
      <c r="J394" s="8" t="n"/>
      <c r="K394" s="7" t="n"/>
      <c r="L394" s="7" t="n"/>
      <c r="M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8" t="n"/>
      <c r="J395" s="8" t="n"/>
      <c r="K395" s="7" t="n"/>
      <c r="L395" s="7" t="n"/>
      <c r="M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8" t="n"/>
      <c r="J396" s="8" t="n"/>
      <c r="K396" s="7" t="n"/>
      <c r="L396" s="7" t="n"/>
      <c r="M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8" t="n"/>
      <c r="J397" s="8" t="n"/>
      <c r="K397" s="7" t="n"/>
      <c r="L397" s="7" t="n"/>
      <c r="M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8" t="n"/>
      <c r="J398" s="8" t="n"/>
      <c r="K398" s="7" t="n"/>
      <c r="L398" s="7" t="n"/>
      <c r="M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8" t="n"/>
      <c r="J399" s="8" t="n"/>
      <c r="K399" s="7" t="n"/>
      <c r="L399" s="7" t="n"/>
      <c r="M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8" t="n"/>
      <c r="J400" s="8" t="n"/>
      <c r="K400" s="7" t="n"/>
      <c r="L400" s="7" t="n"/>
      <c r="M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8" t="n"/>
      <c r="J401" s="8" t="n"/>
      <c r="K401" s="7" t="n"/>
      <c r="L401" s="7" t="n"/>
      <c r="M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8" t="n"/>
      <c r="J402" s="8" t="n"/>
      <c r="K402" s="7" t="n"/>
      <c r="L402" s="7" t="n"/>
      <c r="M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8" t="n"/>
      <c r="J403" s="8" t="n"/>
      <c r="K403" s="7" t="n"/>
      <c r="L403" s="7" t="n"/>
      <c r="M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8" t="n"/>
      <c r="J404" s="8" t="n"/>
      <c r="K404" s="7" t="n"/>
      <c r="L404" s="7" t="n"/>
      <c r="M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8" t="n"/>
      <c r="J405" s="8" t="n"/>
      <c r="K405" s="7" t="n"/>
      <c r="L405" s="7" t="n"/>
      <c r="M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8" t="n"/>
      <c r="J406" s="8" t="n"/>
      <c r="K406" s="7" t="n"/>
      <c r="L406" s="7" t="n"/>
      <c r="M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8" t="n"/>
      <c r="J407" s="8" t="n"/>
      <c r="K407" s="7" t="n"/>
      <c r="L407" s="7" t="n"/>
      <c r="M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8" t="n"/>
      <c r="J408" s="8" t="n"/>
      <c r="K408" s="7" t="n"/>
      <c r="L408" s="7" t="n"/>
      <c r="M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8" t="n"/>
      <c r="J409" s="8" t="n"/>
      <c r="K409" s="7" t="n"/>
      <c r="L409" s="7" t="n"/>
      <c r="M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8" t="n"/>
      <c r="J410" s="8" t="n"/>
      <c r="K410" s="7" t="n"/>
      <c r="L410" s="7" t="n"/>
      <c r="M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8" t="n"/>
      <c r="J411" s="8" t="n"/>
      <c r="K411" s="7" t="n"/>
      <c r="L411" s="7" t="n"/>
      <c r="M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8" t="n"/>
      <c r="J412" s="8" t="n"/>
      <c r="K412" s="7" t="n"/>
      <c r="L412" s="7" t="n"/>
      <c r="M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8" t="n"/>
      <c r="J413" s="8" t="n"/>
      <c r="K413" s="7" t="n"/>
      <c r="L413" s="7" t="n"/>
      <c r="M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8" t="n"/>
      <c r="J414" s="8" t="n"/>
      <c r="K414" s="7" t="n"/>
      <c r="L414" s="7" t="n"/>
      <c r="M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8" t="n"/>
      <c r="J415" s="8" t="n"/>
      <c r="K415" s="7" t="n"/>
      <c r="L415" s="7" t="n"/>
      <c r="M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8" t="n"/>
      <c r="J416" s="8" t="n"/>
      <c r="K416" s="7" t="n"/>
      <c r="L416" s="7" t="n"/>
      <c r="M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8" t="n"/>
      <c r="J417" s="8" t="n"/>
      <c r="K417" s="7" t="n"/>
      <c r="L417" s="7" t="n"/>
      <c r="M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8" t="n"/>
      <c r="J418" s="8" t="n"/>
      <c r="K418" s="7" t="n"/>
      <c r="L418" s="7" t="n"/>
      <c r="M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8" t="n"/>
      <c r="J419" s="8" t="n"/>
      <c r="K419" s="7" t="n"/>
      <c r="L419" s="7" t="n"/>
      <c r="M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8" t="n"/>
      <c r="J420" s="8" t="n"/>
      <c r="K420" s="7" t="n"/>
      <c r="L420" s="7" t="n"/>
      <c r="M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8" t="n"/>
      <c r="J421" s="8" t="n"/>
      <c r="K421" s="7" t="n"/>
      <c r="L421" s="7" t="n"/>
      <c r="M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8" t="n"/>
      <c r="J422" s="8" t="n"/>
      <c r="K422" s="7" t="n"/>
      <c r="L422" s="7" t="n"/>
      <c r="M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8" t="n"/>
      <c r="J423" s="8" t="n"/>
      <c r="K423" s="7" t="n"/>
      <c r="L423" s="7" t="n"/>
      <c r="M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8" t="n"/>
      <c r="J424" s="8" t="n"/>
      <c r="K424" s="7" t="n"/>
      <c r="L424" s="7" t="n"/>
      <c r="M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8" t="n"/>
      <c r="J425" s="8" t="n"/>
      <c r="K425" s="7" t="n"/>
      <c r="L425" s="7" t="n"/>
      <c r="M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8" t="n"/>
      <c r="J426" s="8" t="n"/>
      <c r="K426" s="7" t="n"/>
      <c r="L426" s="7" t="n"/>
      <c r="M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8" t="n"/>
      <c r="J427" s="8" t="n"/>
      <c r="K427" s="7" t="n"/>
      <c r="L427" s="7" t="n"/>
      <c r="M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8" t="n"/>
      <c r="J428" s="8" t="n"/>
      <c r="K428" s="7" t="n"/>
      <c r="L428" s="7" t="n"/>
      <c r="M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8" t="n"/>
      <c r="J429" s="8" t="n"/>
      <c r="K429" s="7" t="n"/>
      <c r="L429" s="7" t="n"/>
      <c r="M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8" t="n"/>
      <c r="J430" s="8" t="n"/>
      <c r="K430" s="7" t="n"/>
      <c r="L430" s="7" t="n"/>
      <c r="M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8" t="n"/>
      <c r="J431" s="8" t="n"/>
      <c r="K431" s="7" t="n"/>
      <c r="L431" s="7" t="n"/>
      <c r="M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8" t="n"/>
      <c r="J432" s="8" t="n"/>
      <c r="K432" s="7" t="n"/>
      <c r="L432" s="7" t="n"/>
      <c r="M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8" t="n"/>
      <c r="J433" s="8" t="n"/>
      <c r="K433" s="7" t="n"/>
      <c r="L433" s="7" t="n"/>
      <c r="M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8" t="n"/>
      <c r="J434" s="8" t="n"/>
      <c r="K434" s="7" t="n"/>
      <c r="L434" s="7" t="n"/>
      <c r="M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8" t="n"/>
      <c r="J435" s="8" t="n"/>
      <c r="K435" s="7" t="n"/>
      <c r="L435" s="7" t="n"/>
      <c r="M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8" t="n"/>
      <c r="J436" s="8" t="n"/>
      <c r="K436" s="7" t="n"/>
      <c r="L436" s="7" t="n"/>
      <c r="M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8" t="n"/>
      <c r="J437" s="8" t="n"/>
      <c r="K437" s="7" t="n"/>
      <c r="L437" s="7" t="n"/>
      <c r="M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8" t="n"/>
      <c r="J438" s="8" t="n"/>
      <c r="K438" s="7" t="n"/>
      <c r="L438" s="7" t="n"/>
      <c r="M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8" t="n"/>
      <c r="J439" s="8" t="n"/>
      <c r="K439" s="7" t="n"/>
      <c r="L439" s="7" t="n"/>
      <c r="M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8" t="n"/>
      <c r="J440" s="8" t="n"/>
      <c r="K440" s="7" t="n"/>
      <c r="L440" s="7" t="n"/>
      <c r="M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8" t="n"/>
      <c r="J441" s="8" t="n"/>
      <c r="K441" s="7" t="n"/>
      <c r="L441" s="7" t="n"/>
      <c r="M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8" t="n"/>
      <c r="J442" s="8" t="n"/>
      <c r="K442" s="7" t="n"/>
      <c r="L442" s="7" t="n"/>
      <c r="M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8" t="n"/>
      <c r="J443" s="8" t="n"/>
      <c r="K443" s="7" t="n"/>
      <c r="L443" s="7" t="n"/>
      <c r="M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8" t="n"/>
      <c r="J444" s="8" t="n"/>
      <c r="K444" s="7" t="n"/>
      <c r="L444" s="7" t="n"/>
      <c r="M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8" t="n"/>
      <c r="J445" s="8" t="n"/>
      <c r="K445" s="7" t="n"/>
      <c r="L445" s="7" t="n"/>
      <c r="M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8" t="n"/>
      <c r="J446" s="8" t="n"/>
      <c r="K446" s="7" t="n"/>
      <c r="L446" s="7" t="n"/>
      <c r="M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8" t="n"/>
      <c r="J447" s="8" t="n"/>
      <c r="K447" s="7" t="n"/>
      <c r="L447" s="7" t="n"/>
      <c r="M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8" t="n"/>
      <c r="J448" s="8" t="n"/>
      <c r="K448" s="7" t="n"/>
      <c r="L448" s="7" t="n"/>
      <c r="M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8" t="n"/>
      <c r="J449" s="8" t="n"/>
      <c r="K449" s="7" t="n"/>
      <c r="L449" s="7" t="n"/>
      <c r="M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8" t="n"/>
      <c r="J450" s="8" t="n"/>
      <c r="K450" s="7" t="n"/>
      <c r="L450" s="7" t="n"/>
      <c r="M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8" t="n"/>
      <c r="J451" s="8" t="n"/>
      <c r="K451" s="7" t="n"/>
      <c r="L451" s="7" t="n"/>
      <c r="M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8" t="n"/>
      <c r="J452" s="8" t="n"/>
      <c r="K452" s="7" t="n"/>
      <c r="L452" s="7" t="n"/>
      <c r="M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8" t="n"/>
      <c r="J453" s="8" t="n"/>
      <c r="K453" s="7" t="n"/>
      <c r="L453" s="7" t="n"/>
      <c r="M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8" t="n"/>
      <c r="J454" s="8" t="n"/>
      <c r="K454" s="7" t="n"/>
      <c r="L454" s="7" t="n"/>
      <c r="M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8" t="n"/>
      <c r="J455" s="8" t="n"/>
      <c r="K455" s="7" t="n"/>
      <c r="L455" s="7" t="n"/>
      <c r="M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8" t="n"/>
      <c r="J456" s="8" t="n"/>
      <c r="K456" s="7" t="n"/>
      <c r="L456" s="7" t="n"/>
      <c r="M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8" t="n"/>
      <c r="J457" s="8" t="n"/>
      <c r="K457" s="7" t="n"/>
      <c r="L457" s="7" t="n"/>
      <c r="M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8" t="n"/>
      <c r="J458" s="8" t="n"/>
      <c r="K458" s="7" t="n"/>
      <c r="L458" s="7" t="n"/>
      <c r="M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8" t="n"/>
      <c r="J459" s="8" t="n"/>
      <c r="K459" s="7" t="n"/>
      <c r="L459" s="7" t="n"/>
      <c r="M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8" t="n"/>
      <c r="J460" s="8" t="n"/>
      <c r="K460" s="7" t="n"/>
      <c r="L460" s="7" t="n"/>
      <c r="M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8" t="n"/>
      <c r="J461" s="8" t="n"/>
      <c r="K461" s="7" t="n"/>
      <c r="L461" s="7" t="n"/>
      <c r="M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8" t="n"/>
      <c r="J462" s="8" t="n"/>
      <c r="K462" s="7" t="n"/>
      <c r="L462" s="7" t="n"/>
      <c r="M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8" t="n"/>
      <c r="J463" s="8" t="n"/>
      <c r="K463" s="7" t="n"/>
      <c r="L463" s="7" t="n"/>
      <c r="M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8" t="n"/>
      <c r="J464" s="8" t="n"/>
      <c r="K464" s="7" t="n"/>
      <c r="L464" s="7" t="n"/>
      <c r="M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8" t="n"/>
      <c r="J465" s="8" t="n"/>
      <c r="K465" s="7" t="n"/>
      <c r="L465" s="7" t="n"/>
      <c r="M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8" t="n"/>
      <c r="J466" s="8" t="n"/>
      <c r="K466" s="7" t="n"/>
      <c r="L466" s="7" t="n"/>
      <c r="M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8" t="n"/>
      <c r="J467" s="8" t="n"/>
      <c r="K467" s="7" t="n"/>
      <c r="L467" s="7" t="n"/>
      <c r="M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8" t="n"/>
      <c r="J468" s="8" t="n"/>
      <c r="K468" s="7" t="n"/>
      <c r="L468" s="7" t="n"/>
      <c r="M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8" t="n"/>
      <c r="J469" s="8" t="n"/>
      <c r="K469" s="7" t="n"/>
      <c r="L469" s="7" t="n"/>
      <c r="M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8" t="n"/>
      <c r="J470" s="8" t="n"/>
      <c r="K470" s="7" t="n"/>
      <c r="L470" s="7" t="n"/>
      <c r="M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8" t="n"/>
      <c r="J471" s="8" t="n"/>
      <c r="K471" s="7" t="n"/>
      <c r="L471" s="7" t="n"/>
      <c r="M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8" t="n"/>
      <c r="J472" s="8" t="n"/>
      <c r="K472" s="7" t="n"/>
      <c r="L472" s="7" t="n"/>
      <c r="M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8" t="n"/>
      <c r="J473" s="8" t="n"/>
      <c r="K473" s="7" t="n"/>
      <c r="L473" s="7" t="n"/>
      <c r="M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8" t="n"/>
      <c r="J474" s="8" t="n"/>
      <c r="K474" s="7" t="n"/>
      <c r="L474" s="7" t="n"/>
      <c r="M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8" t="n"/>
      <c r="J475" s="8" t="n"/>
      <c r="K475" s="7" t="n"/>
      <c r="L475" s="7" t="n"/>
      <c r="M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8" t="n"/>
      <c r="J476" s="8" t="n"/>
      <c r="K476" s="7" t="n"/>
      <c r="L476" s="7" t="n"/>
      <c r="M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8" t="n"/>
      <c r="J477" s="8" t="n"/>
      <c r="K477" s="7" t="n"/>
      <c r="L477" s="7" t="n"/>
      <c r="M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8" t="n"/>
      <c r="J478" s="8" t="n"/>
      <c r="K478" s="7" t="n"/>
      <c r="L478" s="7" t="n"/>
      <c r="M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8" t="n"/>
      <c r="J479" s="8" t="n"/>
      <c r="K479" s="7" t="n"/>
      <c r="L479" s="7" t="n"/>
      <c r="M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8" t="n"/>
      <c r="J480" s="8" t="n"/>
      <c r="K480" s="7" t="n"/>
      <c r="L480" s="7" t="n"/>
      <c r="M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8" t="n"/>
      <c r="J481" s="8" t="n"/>
      <c r="K481" s="7" t="n"/>
      <c r="L481" s="7" t="n"/>
      <c r="M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8" t="n"/>
      <c r="J482" s="8" t="n"/>
      <c r="K482" s="7" t="n"/>
      <c r="L482" s="7" t="n"/>
      <c r="M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8" t="n"/>
      <c r="J483" s="8" t="n"/>
      <c r="K483" s="7" t="n"/>
      <c r="L483" s="7" t="n"/>
      <c r="M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8" t="n"/>
      <c r="J484" s="8" t="n"/>
      <c r="K484" s="7" t="n"/>
      <c r="L484" s="7" t="n"/>
      <c r="M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8" t="n"/>
      <c r="J485" s="8" t="n"/>
      <c r="K485" s="7" t="n"/>
      <c r="L485" s="7" t="n"/>
      <c r="M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8" t="n"/>
      <c r="J486" s="8" t="n"/>
      <c r="K486" s="7" t="n"/>
      <c r="L486" s="7" t="n"/>
      <c r="M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8" t="n"/>
      <c r="J487" s="8" t="n"/>
      <c r="K487" s="7" t="n"/>
      <c r="L487" s="7" t="n"/>
      <c r="M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8" t="n"/>
      <c r="J488" s="8" t="n"/>
      <c r="K488" s="7" t="n"/>
      <c r="L488" s="7" t="n"/>
      <c r="M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8" t="n"/>
      <c r="J489" s="8" t="n"/>
      <c r="K489" s="7" t="n"/>
      <c r="L489" s="7" t="n"/>
      <c r="M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8" t="n"/>
      <c r="J490" s="8" t="n"/>
      <c r="K490" s="7" t="n"/>
      <c r="L490" s="7" t="n"/>
      <c r="M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8" t="n"/>
      <c r="J491" s="8" t="n"/>
      <c r="K491" s="7" t="n"/>
      <c r="L491" s="7" t="n"/>
      <c r="M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8" t="n"/>
      <c r="J492" s="8" t="n"/>
      <c r="K492" s="7" t="n"/>
      <c r="L492" s="7" t="n"/>
      <c r="M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8" t="n"/>
      <c r="J493" s="8" t="n"/>
      <c r="K493" s="7" t="n"/>
      <c r="L493" s="7" t="n"/>
      <c r="M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8" t="n"/>
      <c r="J494" s="8" t="n"/>
      <c r="K494" s="7" t="n"/>
      <c r="L494" s="7" t="n"/>
      <c r="M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8" t="n"/>
      <c r="J495" s="8" t="n"/>
      <c r="K495" s="7" t="n"/>
      <c r="L495" s="7" t="n"/>
      <c r="M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8" t="n"/>
      <c r="J496" s="8" t="n"/>
      <c r="K496" s="7" t="n"/>
      <c r="L496" s="7" t="n"/>
      <c r="M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8" t="n"/>
      <c r="J497" s="8" t="n"/>
      <c r="K497" s="7" t="n"/>
      <c r="L497" s="7" t="n"/>
      <c r="M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8" t="n"/>
      <c r="J498" s="8" t="n"/>
      <c r="K498" s="7" t="n"/>
      <c r="L498" s="7" t="n"/>
      <c r="M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8" t="n"/>
      <c r="J499" s="8" t="n"/>
      <c r="K499" s="7" t="n"/>
      <c r="L499" s="7" t="n"/>
      <c r="M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8" t="n"/>
      <c r="J500" s="8" t="n"/>
      <c r="K500" s="7" t="n"/>
      <c r="L500" s="7" t="n"/>
      <c r="M500" s="7" t="n"/>
    </row>
    <row r="501">
      <c r="I501" s="3" t="n"/>
      <c r="J501" s="3" t="n"/>
    </row>
    <row r="502">
      <c r="I502" s="3" t="n"/>
      <c r="J502" s="3" t="n"/>
    </row>
    <row r="503">
      <c r="I503" s="3" t="n"/>
      <c r="J503" s="3" t="n"/>
    </row>
    <row r="504">
      <c r="I504" s="3" t="n"/>
      <c r="J504" s="3" t="n"/>
    </row>
    <row r="505">
      <c r="I505" s="3" t="n"/>
      <c r="J505" s="3" t="n"/>
    </row>
    <row r="506">
      <c r="I506" s="3" t="n"/>
      <c r="J506" s="3" t="n"/>
    </row>
    <row r="507">
      <c r="I507" s="3" t="n"/>
      <c r="J507" s="3" t="n"/>
    </row>
    <row r="508">
      <c r="I508" s="3" t="n"/>
      <c r="J508" s="3" t="n"/>
    </row>
    <row r="509">
      <c r="I509" s="3" t="n"/>
      <c r="J509" s="3" t="n"/>
    </row>
    <row r="510">
      <c r="I510" s="3" t="n"/>
      <c r="J510" s="3" t="n"/>
    </row>
    <row r="511">
      <c r="I511" s="3" t="n"/>
      <c r="J511" s="3" t="n"/>
    </row>
    <row r="512">
      <c r="I512" s="3" t="n"/>
      <c r="J512" s="3" t="n"/>
    </row>
    <row r="513">
      <c r="I513" s="3" t="n"/>
      <c r="J513" s="3" t="n"/>
    </row>
    <row r="514">
      <c r="I514" s="3" t="n"/>
      <c r="J514" s="3" t="n"/>
    </row>
    <row r="515">
      <c r="I515" s="3" t="n"/>
      <c r="J515" s="3" t="n"/>
    </row>
    <row r="516">
      <c r="I516" s="3" t="n"/>
      <c r="J516" s="3" t="n"/>
    </row>
    <row r="517">
      <c r="I517" s="3" t="n"/>
      <c r="J517" s="3" t="n"/>
    </row>
    <row r="518">
      <c r="I518" s="3" t="n"/>
      <c r="J518" s="3" t="n"/>
    </row>
    <row r="519">
      <c r="I519" s="3" t="n"/>
      <c r="J519" s="3" t="n"/>
    </row>
    <row r="520">
      <c r="I520" s="3" t="n"/>
      <c r="J520" s="3" t="n"/>
    </row>
    <row r="521">
      <c r="I521" s="3" t="n"/>
      <c r="J521" s="3" t="n"/>
    </row>
    <row r="522">
      <c r="I522" s="3" t="n"/>
      <c r="J522" s="3" t="n"/>
    </row>
    <row r="523">
      <c r="I523" s="3" t="n"/>
      <c r="J523" s="3" t="n"/>
    </row>
    <row r="524">
      <c r="I524" s="3" t="n"/>
      <c r="J524" s="3" t="n"/>
    </row>
    <row r="525">
      <c r="I525" s="3" t="n"/>
      <c r="J525" s="3" t="n"/>
    </row>
    <row r="526">
      <c r="I526" s="3" t="n"/>
      <c r="J526" s="3" t="n"/>
    </row>
    <row r="527">
      <c r="I527" s="3" t="n"/>
      <c r="J527" s="3" t="n"/>
    </row>
    <row r="528">
      <c r="I528" s="3" t="n"/>
      <c r="J528" s="3" t="n"/>
    </row>
    <row r="529">
      <c r="I529" s="3" t="n"/>
      <c r="J529" s="3" t="n"/>
    </row>
    <row r="530">
      <c r="I530" s="3" t="n"/>
      <c r="J530" s="3" t="n"/>
    </row>
    <row r="531">
      <c r="I531" s="3" t="n"/>
      <c r="J531" s="3" t="n"/>
    </row>
    <row r="532">
      <c r="I532" s="3" t="n"/>
      <c r="J532" s="3" t="n"/>
    </row>
    <row r="533">
      <c r="I533" s="3" t="n"/>
      <c r="J533" s="3" t="n"/>
    </row>
    <row r="534">
      <c r="I534" s="3" t="n"/>
      <c r="J534" s="3" t="n"/>
    </row>
    <row r="535">
      <c r="I535" s="3" t="n"/>
      <c r="J535" s="3" t="n"/>
    </row>
    <row r="536">
      <c r="I536" s="3" t="n"/>
      <c r="J536" s="3" t="n"/>
    </row>
    <row r="537">
      <c r="I537" s="3" t="n"/>
      <c r="J537" s="3" t="n"/>
    </row>
    <row r="538">
      <c r="I538" s="3" t="n"/>
      <c r="J538" s="3" t="n"/>
    </row>
    <row r="539">
      <c r="I539" s="3" t="n"/>
      <c r="J539" s="3" t="n"/>
    </row>
    <row r="540">
      <c r="I540" s="3" t="n"/>
      <c r="J540" s="3" t="n"/>
    </row>
    <row r="541">
      <c r="I541" s="3" t="n"/>
      <c r="J541" s="3" t="n"/>
    </row>
    <row r="542">
      <c r="I542" s="3" t="n"/>
      <c r="J542" s="3" t="n"/>
    </row>
    <row r="543">
      <c r="I543" s="3" t="n"/>
      <c r="J543" s="3" t="n"/>
    </row>
    <row r="544">
      <c r="I544" s="3" t="n"/>
      <c r="J544" s="3" t="n"/>
    </row>
    <row r="545">
      <c r="I545" s="3" t="n"/>
      <c r="J545" s="3" t="n"/>
    </row>
    <row r="546">
      <c r="I546" s="3" t="n"/>
      <c r="J546" s="3" t="n"/>
    </row>
    <row r="547">
      <c r="I547" s="3" t="n"/>
      <c r="J547" s="3" t="n"/>
    </row>
    <row r="548">
      <c r="I548" s="3" t="n"/>
      <c r="J548" s="3" t="n"/>
    </row>
    <row r="549">
      <c r="I549" s="3" t="n"/>
      <c r="J549" s="3" t="n"/>
    </row>
    <row r="550">
      <c r="I550" s="3" t="n"/>
      <c r="J550" s="3" t="n"/>
    </row>
    <row r="551">
      <c r="I551" s="3" t="n"/>
      <c r="J551" s="3" t="n"/>
    </row>
    <row r="552">
      <c r="I552" s="3" t="n"/>
      <c r="J552" s="3" t="n"/>
    </row>
    <row r="553">
      <c r="I553" s="3" t="n"/>
      <c r="J553" s="3" t="n"/>
    </row>
    <row r="554">
      <c r="I554" s="3" t="n"/>
      <c r="J554" s="3" t="n"/>
    </row>
    <row r="555">
      <c r="I555" s="3" t="n"/>
      <c r="J555" s="3" t="n"/>
    </row>
    <row r="556">
      <c r="I556" s="3" t="n"/>
      <c r="J556" s="3" t="n"/>
    </row>
    <row r="557">
      <c r="I557" s="3" t="n"/>
      <c r="J557" s="3" t="n"/>
    </row>
    <row r="558">
      <c r="I558" s="3" t="n"/>
      <c r="J558" s="3" t="n"/>
    </row>
    <row r="559">
      <c r="I559" s="3" t="n"/>
      <c r="J559" s="3" t="n"/>
    </row>
    <row r="560">
      <c r="I560" s="3" t="n"/>
      <c r="J560" s="3" t="n"/>
    </row>
    <row r="561">
      <c r="I561" s="3" t="n"/>
      <c r="J561" s="3" t="n"/>
    </row>
    <row r="562">
      <c r="I562" s="3" t="n"/>
      <c r="J562" s="3" t="n"/>
    </row>
    <row r="563">
      <c r="I563" s="3" t="n"/>
      <c r="J563" s="3" t="n"/>
    </row>
    <row r="564">
      <c r="I564" s="3" t="n"/>
      <c r="J564" s="3" t="n"/>
    </row>
    <row r="565">
      <c r="I565" s="3" t="n"/>
      <c r="J565" s="3" t="n"/>
    </row>
    <row r="566">
      <c r="I566" s="3" t="n"/>
      <c r="J566" s="3" t="n"/>
    </row>
    <row r="567">
      <c r="I567" s="3" t="n"/>
      <c r="J567" s="3" t="n"/>
    </row>
    <row r="568">
      <c r="I568" s="3" t="n"/>
      <c r="J568" s="3" t="n"/>
    </row>
    <row r="569">
      <c r="I569" s="3" t="n"/>
      <c r="J569" s="3" t="n"/>
    </row>
    <row r="570">
      <c r="I570" s="3" t="n"/>
      <c r="J570" s="3" t="n"/>
    </row>
    <row r="571">
      <c r="I571" s="3" t="n"/>
      <c r="J571" s="3" t="n"/>
    </row>
    <row r="572">
      <c r="I572" s="3" t="n"/>
      <c r="J572" s="3" t="n"/>
    </row>
    <row r="573">
      <c r="I573" s="3" t="n"/>
      <c r="J573" s="3" t="n"/>
    </row>
    <row r="574">
      <c r="I574" s="3" t="n"/>
      <c r="J574" s="3" t="n"/>
    </row>
    <row r="575">
      <c r="I575" s="3" t="n"/>
      <c r="J575" s="3" t="n"/>
    </row>
    <row r="576">
      <c r="I576" s="3" t="n"/>
      <c r="J576" s="3" t="n"/>
    </row>
    <row r="577">
      <c r="I577" s="3" t="n"/>
      <c r="J577" s="3" t="n"/>
    </row>
    <row r="578">
      <c r="I578" s="3" t="n"/>
      <c r="J578" s="3" t="n"/>
    </row>
    <row r="579">
      <c r="I579" s="3" t="n"/>
      <c r="J579" s="3" t="n"/>
    </row>
    <row r="580">
      <c r="I580" s="3" t="n"/>
      <c r="J580" s="3" t="n"/>
    </row>
    <row r="581">
      <c r="I581" s="3" t="n"/>
      <c r="J581" s="3" t="n"/>
    </row>
    <row r="582">
      <c r="I582" s="3" t="n"/>
      <c r="J582" s="3" t="n"/>
    </row>
    <row r="583">
      <c r="I583" s="3" t="n"/>
      <c r="J583" s="3" t="n"/>
    </row>
    <row r="584">
      <c r="I584" s="3" t="n"/>
      <c r="J584" s="3" t="n"/>
    </row>
    <row r="585">
      <c r="I585" s="3" t="n"/>
      <c r="J585" s="3" t="n"/>
    </row>
    <row r="586">
      <c r="I586" s="3" t="n"/>
      <c r="J586" s="3" t="n"/>
    </row>
    <row r="587">
      <c r="I587" s="3" t="n"/>
      <c r="J587" s="3" t="n"/>
    </row>
    <row r="588">
      <c r="I588" s="3" t="n"/>
      <c r="J588" s="3" t="n"/>
    </row>
    <row r="589">
      <c r="I589" s="3" t="n"/>
      <c r="J589" s="3" t="n"/>
    </row>
    <row r="590">
      <c r="I590" s="3" t="n"/>
      <c r="J590" s="3" t="n"/>
    </row>
    <row r="591">
      <c r="I591" s="3" t="n"/>
      <c r="J591" s="3" t="n"/>
    </row>
    <row r="592">
      <c r="I592" s="3" t="n"/>
      <c r="J592" s="3" t="n"/>
    </row>
    <row r="593">
      <c r="I593" s="3" t="n"/>
      <c r="J593" s="3" t="n"/>
    </row>
    <row r="594">
      <c r="I594" s="3" t="n"/>
      <c r="J594" s="3" t="n"/>
    </row>
    <row r="595">
      <c r="I595" s="3" t="n"/>
      <c r="J595" s="3" t="n"/>
    </row>
    <row r="596">
      <c r="I596" s="3" t="n"/>
      <c r="J596" s="3" t="n"/>
    </row>
    <row r="597">
      <c r="I597" s="3" t="n"/>
      <c r="J597" s="3" t="n"/>
    </row>
    <row r="598">
      <c r="I598" s="3" t="n"/>
      <c r="J598" s="3" t="n"/>
    </row>
    <row r="599">
      <c r="I599" s="3" t="n"/>
      <c r="J599" s="3" t="n"/>
    </row>
    <row r="600">
      <c r="I600" s="3" t="n"/>
      <c r="J600" s="3" t="n"/>
    </row>
    <row r="601">
      <c r="I601" s="3" t="n"/>
      <c r="J601" s="3" t="n"/>
    </row>
    <row r="602">
      <c r="I602" s="3" t="n"/>
      <c r="J602" s="3" t="n"/>
    </row>
    <row r="603">
      <c r="I603" s="3" t="n"/>
      <c r="J603" s="3" t="n"/>
    </row>
    <row r="604">
      <c r="I604" s="3" t="n"/>
      <c r="J604" s="3" t="n"/>
    </row>
    <row r="605">
      <c r="I605" s="3" t="n"/>
      <c r="J605" s="3" t="n"/>
    </row>
    <row r="606">
      <c r="I606" s="3" t="n"/>
      <c r="J606" s="3" t="n"/>
    </row>
    <row r="607">
      <c r="I607" s="3" t="n"/>
      <c r="J607" s="3" t="n"/>
    </row>
    <row r="608">
      <c r="I608" s="3" t="n"/>
      <c r="J608" s="3" t="n"/>
    </row>
    <row r="609">
      <c r="I609" s="3" t="n"/>
      <c r="J609" s="3" t="n"/>
    </row>
    <row r="610">
      <c r="I610" s="3" t="n"/>
      <c r="J610" s="3" t="n"/>
    </row>
    <row r="611">
      <c r="I611" s="3" t="n"/>
      <c r="J611" s="3" t="n"/>
    </row>
    <row r="612">
      <c r="I612" s="3" t="n"/>
      <c r="J612" s="3" t="n"/>
    </row>
    <row r="613">
      <c r="I613" s="3" t="n"/>
      <c r="J613" s="3" t="n"/>
    </row>
    <row r="614">
      <c r="I614" s="3" t="n"/>
      <c r="J614" s="3" t="n"/>
    </row>
    <row r="615">
      <c r="I615" s="3" t="n"/>
      <c r="J615" s="3" t="n"/>
    </row>
    <row r="616">
      <c r="I616" s="3" t="n"/>
      <c r="J616" s="3" t="n"/>
    </row>
    <row r="617">
      <c r="I617" s="3" t="n"/>
      <c r="J617" s="3" t="n"/>
    </row>
    <row r="618">
      <c r="I618" s="3" t="n"/>
      <c r="J618" s="3" t="n"/>
    </row>
    <row r="619">
      <c r="I619" s="3" t="n"/>
      <c r="J619" s="3" t="n"/>
    </row>
    <row r="620">
      <c r="I620" s="3" t="n"/>
      <c r="J620" s="3" t="n"/>
    </row>
    <row r="621">
      <c r="I621" s="3" t="n"/>
      <c r="J621" s="3" t="n"/>
    </row>
    <row r="622">
      <c r="I622" s="3" t="n"/>
      <c r="J622" s="3" t="n"/>
    </row>
    <row r="623">
      <c r="I623" s="3" t="n"/>
      <c r="J623" s="3" t="n"/>
    </row>
    <row r="624">
      <c r="I624" s="3" t="n"/>
      <c r="J624" s="3" t="n"/>
    </row>
    <row r="625">
      <c r="I625" s="3" t="n"/>
      <c r="J625" s="3" t="n"/>
    </row>
    <row r="626">
      <c r="I626" s="3" t="n"/>
      <c r="J626" s="3" t="n"/>
    </row>
    <row r="627">
      <c r="I627" s="3" t="n"/>
      <c r="J627" s="3" t="n"/>
    </row>
    <row r="628">
      <c r="I628" s="3" t="n"/>
      <c r="J628" s="3" t="n"/>
    </row>
    <row r="629">
      <c r="I629" s="3" t="n"/>
      <c r="J629" s="3" t="n"/>
    </row>
    <row r="630">
      <c r="I630" s="3" t="n"/>
      <c r="J630" s="3" t="n"/>
    </row>
    <row r="631">
      <c r="I631" s="3" t="n"/>
      <c r="J631" s="3" t="n"/>
    </row>
    <row r="632">
      <c r="I632" s="3" t="n"/>
      <c r="J632" s="3" t="n"/>
    </row>
    <row r="633">
      <c r="I633" s="3" t="n"/>
      <c r="J633" s="3" t="n"/>
    </row>
    <row r="634">
      <c r="I634" s="3" t="n"/>
      <c r="J634" s="3" t="n"/>
    </row>
    <row r="635">
      <c r="I635" s="3" t="n"/>
      <c r="J635" s="3" t="n"/>
    </row>
    <row r="636">
      <c r="I636" s="3" t="n"/>
      <c r="J636" s="3" t="n"/>
    </row>
    <row r="637">
      <c r="I637" s="3" t="n"/>
      <c r="J637" s="3" t="n"/>
    </row>
    <row r="638">
      <c r="I638" s="3" t="n"/>
      <c r="J638" s="3" t="n"/>
    </row>
    <row r="639">
      <c r="I639" s="3" t="n"/>
      <c r="J639" s="3" t="n"/>
    </row>
    <row r="640">
      <c r="I640" s="3" t="n"/>
      <c r="J640" s="3" t="n"/>
    </row>
    <row r="641">
      <c r="I641" s="3" t="n"/>
      <c r="J641" s="3" t="n"/>
    </row>
    <row r="642">
      <c r="I642" s="3" t="n"/>
      <c r="J642" s="3" t="n"/>
    </row>
    <row r="643">
      <c r="I643" s="3" t="n"/>
      <c r="J643" s="3" t="n"/>
    </row>
    <row r="644">
      <c r="I644" s="3" t="n"/>
      <c r="J644" s="3" t="n"/>
    </row>
    <row r="645">
      <c r="I645" s="3" t="n"/>
      <c r="J645" s="3" t="n"/>
    </row>
    <row r="646">
      <c r="I646" s="3" t="n"/>
      <c r="J646" s="3" t="n"/>
    </row>
    <row r="647">
      <c r="I647" s="3" t="n"/>
      <c r="J647" s="3" t="n"/>
    </row>
    <row r="648">
      <c r="I648" s="3" t="n"/>
      <c r="J648" s="3" t="n"/>
    </row>
    <row r="649">
      <c r="I649" s="3" t="n"/>
      <c r="J649" s="3" t="n"/>
    </row>
    <row r="650">
      <c r="I650" s="3" t="n"/>
      <c r="J650" s="3" t="n"/>
    </row>
    <row r="651">
      <c r="I651" s="3" t="n"/>
      <c r="J651" s="3" t="n"/>
    </row>
    <row r="652">
      <c r="I652" s="3" t="n"/>
      <c r="J652" s="3" t="n"/>
    </row>
    <row r="653">
      <c r="I653" s="3" t="n"/>
      <c r="J653" s="3" t="n"/>
    </row>
    <row r="654">
      <c r="I654" s="3" t="n"/>
      <c r="J654" s="3" t="n"/>
    </row>
    <row r="655">
      <c r="I655" s="3" t="n"/>
      <c r="J655" s="3" t="n"/>
    </row>
    <row r="656">
      <c r="I656" s="3" t="n"/>
      <c r="J656" s="3" t="n"/>
    </row>
    <row r="657">
      <c r="I657" s="3" t="n"/>
      <c r="J657" s="3" t="n"/>
    </row>
    <row r="658">
      <c r="I658" s="3" t="n"/>
      <c r="J658" s="3" t="n"/>
    </row>
    <row r="659">
      <c r="I659" s="3" t="n"/>
      <c r="J659" s="3" t="n"/>
    </row>
    <row r="660">
      <c r="I660" s="3" t="n"/>
      <c r="J660" s="3" t="n"/>
    </row>
    <row r="661">
      <c r="I661" s="3" t="n"/>
      <c r="J661" s="3" t="n"/>
    </row>
    <row r="662">
      <c r="I662" s="3" t="n"/>
      <c r="J662" s="3" t="n"/>
    </row>
    <row r="663">
      <c r="I663" s="3" t="n"/>
      <c r="J663" s="3" t="n"/>
    </row>
    <row r="664">
      <c r="I664" s="3" t="n"/>
      <c r="J664" s="3" t="n"/>
    </row>
    <row r="665">
      <c r="I665" s="3" t="n"/>
      <c r="J665" s="3" t="n"/>
    </row>
    <row r="666">
      <c r="I666" s="3" t="n"/>
      <c r="J666" s="3" t="n"/>
    </row>
    <row r="667">
      <c r="I667" s="3" t="n"/>
      <c r="J667" s="3" t="n"/>
    </row>
    <row r="668">
      <c r="I668" s="3" t="n"/>
      <c r="J668" s="3" t="n"/>
    </row>
    <row r="669">
      <c r="I669" s="3" t="n"/>
      <c r="J669" s="3" t="n"/>
    </row>
    <row r="670">
      <c r="I670" s="3" t="n"/>
      <c r="J670" s="3" t="n"/>
    </row>
    <row r="671">
      <c r="I671" s="3" t="n"/>
      <c r="J671" s="3" t="n"/>
    </row>
    <row r="672">
      <c r="I672" s="3" t="n"/>
      <c r="J672" s="3" t="n"/>
    </row>
    <row r="673">
      <c r="I673" s="3" t="n"/>
      <c r="J673" s="3" t="n"/>
    </row>
    <row r="674">
      <c r="I674" s="3" t="n"/>
      <c r="J674" s="3" t="n"/>
    </row>
    <row r="675">
      <c r="I675" s="3" t="n"/>
      <c r="J675" s="3" t="n"/>
    </row>
    <row r="676">
      <c r="I676" s="3" t="n"/>
      <c r="J676" s="3" t="n"/>
    </row>
    <row r="677">
      <c r="I677" s="3" t="n"/>
      <c r="J677" s="3" t="n"/>
    </row>
    <row r="678">
      <c r="I678" s="3" t="n"/>
      <c r="J678" s="3" t="n"/>
    </row>
    <row r="679">
      <c r="I679" s="3" t="n"/>
      <c r="J679" s="3" t="n"/>
    </row>
    <row r="680">
      <c r="I680" s="3" t="n"/>
      <c r="J680" s="3" t="n"/>
    </row>
    <row r="681">
      <c r="I681" s="3" t="n"/>
      <c r="J681" s="3" t="n"/>
    </row>
    <row r="682">
      <c r="I682" s="3" t="n"/>
      <c r="J682" s="3" t="n"/>
    </row>
    <row r="683">
      <c r="I683" s="3" t="n"/>
      <c r="J683" s="3" t="n"/>
    </row>
    <row r="684">
      <c r="I684" s="3" t="n"/>
      <c r="J684" s="3" t="n"/>
    </row>
    <row r="685">
      <c r="I685" s="3" t="n"/>
      <c r="J685" s="3" t="n"/>
    </row>
    <row r="686">
      <c r="I686" s="3" t="n"/>
      <c r="J686" s="3" t="n"/>
    </row>
    <row r="687">
      <c r="I687" s="3" t="n"/>
      <c r="J687" s="3" t="n"/>
    </row>
    <row r="688">
      <c r="I688" s="3" t="n"/>
      <c r="J688" s="3" t="n"/>
    </row>
    <row r="689">
      <c r="I689" s="3" t="n"/>
      <c r="J689" s="3" t="n"/>
    </row>
    <row r="690">
      <c r="I690" s="3" t="n"/>
      <c r="J690" s="3" t="n"/>
    </row>
    <row r="691">
      <c r="I691" s="3" t="n"/>
      <c r="J691" s="3" t="n"/>
    </row>
    <row r="692">
      <c r="I692" s="3" t="n"/>
      <c r="J692" s="3" t="n"/>
    </row>
    <row r="693">
      <c r="I693" s="3" t="n"/>
      <c r="J693" s="3" t="n"/>
    </row>
    <row r="694">
      <c r="I694" s="3" t="n"/>
      <c r="J694" s="3" t="n"/>
    </row>
    <row r="695">
      <c r="I695" s="3" t="n"/>
      <c r="J695" s="3" t="n"/>
    </row>
    <row r="696">
      <c r="I696" s="3" t="n"/>
      <c r="J696" s="3" t="n"/>
    </row>
    <row r="697">
      <c r="I697" s="3" t="n"/>
      <c r="J697" s="3" t="n"/>
    </row>
    <row r="698">
      <c r="I698" s="3" t="n"/>
      <c r="J698" s="3" t="n"/>
    </row>
    <row r="699">
      <c r="I699" s="3" t="n"/>
      <c r="J699" s="3" t="n"/>
    </row>
    <row r="700">
      <c r="I700" s="3" t="n"/>
      <c r="J700" s="3" t="n"/>
    </row>
    <row r="701">
      <c r="I701" s="3" t="n"/>
      <c r="J701" s="3" t="n"/>
    </row>
    <row r="702">
      <c r="I702" s="3" t="n"/>
      <c r="J702" s="3" t="n"/>
    </row>
    <row r="703">
      <c r="I703" s="3" t="n"/>
      <c r="J703" s="3" t="n"/>
    </row>
    <row r="704">
      <c r="I704" s="3" t="n"/>
      <c r="J704" s="3" t="n"/>
    </row>
    <row r="705">
      <c r="I705" s="3" t="n"/>
      <c r="J705" s="3" t="n"/>
    </row>
    <row r="706">
      <c r="I706" s="3" t="n"/>
      <c r="J706" s="3" t="n"/>
    </row>
    <row r="707">
      <c r="I707" s="3" t="n"/>
      <c r="J707" s="3" t="n"/>
    </row>
    <row r="708">
      <c r="I708" s="3" t="n"/>
      <c r="J708" s="3" t="n"/>
    </row>
    <row r="709">
      <c r="I709" s="3" t="n"/>
      <c r="J709" s="3" t="n"/>
    </row>
    <row r="710">
      <c r="I710" s="3" t="n"/>
      <c r="J710" s="3" t="n"/>
    </row>
    <row r="711">
      <c r="I711" s="3" t="n"/>
      <c r="J711" s="3" t="n"/>
    </row>
    <row r="712">
      <c r="I712" s="3" t="n"/>
      <c r="J712" s="3" t="n"/>
    </row>
    <row r="713">
      <c r="I713" s="3" t="n"/>
      <c r="J713" s="3" t="n"/>
    </row>
    <row r="714">
      <c r="I714" s="3" t="n"/>
      <c r="J714" s="3" t="n"/>
    </row>
    <row r="715">
      <c r="I715" s="3" t="n"/>
      <c r="J715" s="3" t="n"/>
    </row>
    <row r="716">
      <c r="I716" s="3" t="n"/>
      <c r="J716" s="3" t="n"/>
    </row>
    <row r="717">
      <c r="I717" s="3" t="n"/>
      <c r="J717" s="3" t="n"/>
    </row>
    <row r="718">
      <c r="I718" s="3" t="n"/>
      <c r="J718" s="3" t="n"/>
    </row>
    <row r="719">
      <c r="I719" s="3" t="n"/>
      <c r="J719" s="3" t="n"/>
    </row>
    <row r="720">
      <c r="I720" s="3" t="n"/>
      <c r="J720" s="3" t="n"/>
    </row>
    <row r="721">
      <c r="I721" s="3" t="n"/>
      <c r="J721" s="3" t="n"/>
    </row>
    <row r="722">
      <c r="I722" s="3" t="n"/>
      <c r="J722" s="3" t="n"/>
    </row>
    <row r="723">
      <c r="I723" s="3" t="n"/>
      <c r="J723" s="3" t="n"/>
    </row>
    <row r="724">
      <c r="I724" s="3" t="n"/>
      <c r="J724" s="3" t="n"/>
    </row>
    <row r="725">
      <c r="I725" s="3" t="n"/>
      <c r="J725" s="3" t="n"/>
    </row>
    <row r="726">
      <c r="I726" s="3" t="n"/>
      <c r="J726" s="3" t="n"/>
    </row>
    <row r="727">
      <c r="I727" s="3" t="n"/>
      <c r="J727" s="3" t="n"/>
    </row>
    <row r="728">
      <c r="I728" s="3" t="n"/>
      <c r="J728" s="3" t="n"/>
    </row>
    <row r="729">
      <c r="I729" s="3" t="n"/>
      <c r="J729" s="3" t="n"/>
    </row>
    <row r="730">
      <c r="I730" s="3" t="n"/>
      <c r="J730" s="3" t="n"/>
    </row>
    <row r="731">
      <c r="I731" s="3" t="n"/>
      <c r="J731" s="3" t="n"/>
    </row>
    <row r="732">
      <c r="I732" s="3" t="n"/>
      <c r="J732" s="3" t="n"/>
    </row>
    <row r="733">
      <c r="I733" s="3" t="n"/>
      <c r="J733" s="3" t="n"/>
    </row>
    <row r="734">
      <c r="I734" s="3" t="n"/>
      <c r="J734" s="3" t="n"/>
    </row>
    <row r="735">
      <c r="I735" s="3" t="n"/>
      <c r="J735" s="3" t="n"/>
    </row>
    <row r="736">
      <c r="I736" s="3" t="n"/>
      <c r="J736" s="3" t="n"/>
    </row>
    <row r="737">
      <c r="I737" s="3" t="n"/>
      <c r="J737" s="3" t="n"/>
    </row>
    <row r="738">
      <c r="I738" s="3" t="n"/>
      <c r="J738" s="3" t="n"/>
    </row>
    <row r="739">
      <c r="I739" s="3" t="n"/>
      <c r="J739" s="3" t="n"/>
    </row>
    <row r="740">
      <c r="I740" s="3" t="n"/>
      <c r="J740" s="3" t="n"/>
    </row>
    <row r="741">
      <c r="I741" s="3" t="n"/>
      <c r="J741" s="3" t="n"/>
    </row>
    <row r="742">
      <c r="I742" s="3" t="n"/>
      <c r="J742" s="3" t="n"/>
    </row>
    <row r="743">
      <c r="I743" s="3" t="n"/>
      <c r="J743" s="3" t="n"/>
    </row>
    <row r="744">
      <c r="I744" s="3" t="n"/>
      <c r="J744" s="3" t="n"/>
    </row>
    <row r="745">
      <c r="I745" s="3" t="n"/>
      <c r="J745" s="3" t="n"/>
    </row>
    <row r="746">
      <c r="I746" s="3" t="n"/>
      <c r="J746" s="3" t="n"/>
    </row>
    <row r="747">
      <c r="I747" s="3" t="n"/>
      <c r="J747" s="3" t="n"/>
    </row>
    <row r="748">
      <c r="I748" s="3" t="n"/>
      <c r="J748" s="3" t="n"/>
    </row>
    <row r="749">
      <c r="I749" s="3" t="n"/>
      <c r="J749" s="3" t="n"/>
    </row>
    <row r="750">
      <c r="I750" s="3" t="n"/>
      <c r="J750" s="3" t="n"/>
    </row>
    <row r="751">
      <c r="I751" s="3" t="n"/>
      <c r="J751" s="3" t="n"/>
    </row>
    <row r="752">
      <c r="I752" s="3" t="n"/>
      <c r="J752" s="3" t="n"/>
    </row>
    <row r="753">
      <c r="I753" s="3" t="n"/>
      <c r="J753" s="3" t="n"/>
    </row>
    <row r="754">
      <c r="I754" s="3" t="n"/>
      <c r="J754" s="3" t="n"/>
    </row>
    <row r="755">
      <c r="I755" s="3" t="n"/>
      <c r="J755" s="3" t="n"/>
    </row>
    <row r="756">
      <c r="I756" s="3" t="n"/>
      <c r="J756" s="3" t="n"/>
    </row>
    <row r="757">
      <c r="I757" s="3" t="n"/>
      <c r="J757" s="3" t="n"/>
    </row>
    <row r="758">
      <c r="I758" s="3" t="n"/>
      <c r="J758" s="3" t="n"/>
    </row>
    <row r="759">
      <c r="I759" s="3" t="n"/>
      <c r="J759" s="3" t="n"/>
    </row>
    <row r="760">
      <c r="I760" s="3" t="n"/>
      <c r="J760" s="3" t="n"/>
    </row>
    <row r="761">
      <c r="I761" s="3" t="n"/>
      <c r="J761" s="3" t="n"/>
    </row>
    <row r="762">
      <c r="I762" s="3" t="n"/>
      <c r="J762" s="3" t="n"/>
    </row>
    <row r="763">
      <c r="I763" s="3" t="n"/>
      <c r="J763" s="3" t="n"/>
    </row>
    <row r="764">
      <c r="I764" s="3" t="n"/>
      <c r="J764" s="3" t="n"/>
    </row>
    <row r="765">
      <c r="I765" s="3" t="n"/>
      <c r="J765" s="3" t="n"/>
    </row>
    <row r="766">
      <c r="I766" s="3" t="n"/>
      <c r="J766" s="3" t="n"/>
    </row>
    <row r="767">
      <c r="I767" s="3" t="n"/>
      <c r="J767" s="3" t="n"/>
    </row>
    <row r="768">
      <c r="I768" s="3" t="n"/>
      <c r="J768" s="3" t="n"/>
    </row>
    <row r="769">
      <c r="I769" s="3" t="n"/>
      <c r="J769" s="3" t="n"/>
    </row>
    <row r="770">
      <c r="I770" s="3" t="n"/>
      <c r="J770" s="3" t="n"/>
    </row>
    <row r="771">
      <c r="I771" s="3" t="n"/>
      <c r="J771" s="3" t="n"/>
    </row>
    <row r="772">
      <c r="I772" s="3" t="n"/>
      <c r="J772" s="3" t="n"/>
    </row>
    <row r="773">
      <c r="I773" s="3" t="n"/>
      <c r="J773" s="3" t="n"/>
    </row>
    <row r="774">
      <c r="I774" s="3" t="n"/>
      <c r="J774" s="3" t="n"/>
    </row>
    <row r="775">
      <c r="I775" s="3" t="n"/>
      <c r="J775" s="3" t="n"/>
    </row>
    <row r="776">
      <c r="I776" s="3" t="n"/>
      <c r="J776" s="3" t="n"/>
    </row>
    <row r="777">
      <c r="I777" s="3" t="n"/>
      <c r="J777" s="3" t="n"/>
    </row>
    <row r="778">
      <c r="I778" s="3" t="n"/>
      <c r="J778" s="3" t="n"/>
    </row>
    <row r="779">
      <c r="I779" s="3" t="n"/>
      <c r="J779" s="3" t="n"/>
    </row>
    <row r="780">
      <c r="I780" s="3" t="n"/>
      <c r="J780" s="3" t="n"/>
    </row>
    <row r="781">
      <c r="I781" s="3" t="n"/>
      <c r="J781" s="3" t="n"/>
    </row>
    <row r="782">
      <c r="I782" s="3" t="n"/>
      <c r="J782" s="3" t="n"/>
    </row>
    <row r="783">
      <c r="I783" s="3" t="n"/>
      <c r="J783" s="3" t="n"/>
    </row>
    <row r="784">
      <c r="I784" s="3" t="n"/>
      <c r="J784" s="3" t="n"/>
    </row>
    <row r="785">
      <c r="I785" s="3" t="n"/>
      <c r="J785" s="3" t="n"/>
    </row>
    <row r="786">
      <c r="I786" s="3" t="n"/>
      <c r="J786" s="3" t="n"/>
    </row>
    <row r="787">
      <c r="I787" s="3" t="n"/>
      <c r="J787" s="3" t="n"/>
    </row>
    <row r="788">
      <c r="I788" s="3" t="n"/>
      <c r="J788" s="3" t="n"/>
    </row>
    <row r="789">
      <c r="I789" s="3" t="n"/>
      <c r="J789" s="3" t="n"/>
    </row>
    <row r="790">
      <c r="I790" s="3" t="n"/>
      <c r="J790" s="3" t="n"/>
    </row>
    <row r="791">
      <c r="I791" s="3" t="n"/>
      <c r="J791" s="3" t="n"/>
    </row>
    <row r="792">
      <c r="I792" s="3" t="n"/>
      <c r="J792" s="3" t="n"/>
    </row>
    <row r="793">
      <c r="I793" s="3" t="n"/>
      <c r="J793" s="3" t="n"/>
    </row>
    <row r="794">
      <c r="I794" s="3" t="n"/>
      <c r="J794" s="3" t="n"/>
    </row>
    <row r="795">
      <c r="I795" s="3" t="n"/>
      <c r="J795" s="3" t="n"/>
    </row>
    <row r="796">
      <c r="I796" s="3" t="n"/>
      <c r="J796" s="3" t="n"/>
    </row>
    <row r="797">
      <c r="I797" s="3" t="n"/>
      <c r="J797" s="3" t="n"/>
    </row>
    <row r="798">
      <c r="I798" s="3" t="n"/>
      <c r="J798" s="3" t="n"/>
    </row>
    <row r="799">
      <c r="I799" s="3" t="n"/>
      <c r="J799" s="3" t="n"/>
    </row>
    <row r="800">
      <c r="I800" s="3" t="n"/>
      <c r="J800" s="3" t="n"/>
    </row>
    <row r="801">
      <c r="I801" s="3" t="n"/>
      <c r="J801" s="3" t="n"/>
    </row>
    <row r="802">
      <c r="I802" s="3" t="n"/>
      <c r="J802" s="3" t="n"/>
    </row>
    <row r="803">
      <c r="I803" s="3" t="n"/>
      <c r="J803" s="3" t="n"/>
    </row>
    <row r="804">
      <c r="I804" s="3" t="n"/>
      <c r="J804" s="3" t="n"/>
    </row>
    <row r="805">
      <c r="I805" s="3" t="n"/>
      <c r="J805" s="3" t="n"/>
    </row>
    <row r="806">
      <c r="I806" s="3" t="n"/>
      <c r="J806" s="3" t="n"/>
    </row>
    <row r="807">
      <c r="I807" s="3" t="n"/>
      <c r="J807" s="3" t="n"/>
    </row>
    <row r="808">
      <c r="I808" s="3" t="n"/>
      <c r="J808" s="3" t="n"/>
    </row>
    <row r="809">
      <c r="I809" s="3" t="n"/>
      <c r="J809" s="3" t="n"/>
    </row>
    <row r="810">
      <c r="I810" s="3" t="n"/>
      <c r="J810" s="3" t="n"/>
    </row>
    <row r="811">
      <c r="I811" s="3" t="n"/>
      <c r="J811" s="3" t="n"/>
    </row>
    <row r="812">
      <c r="I812" s="3" t="n"/>
      <c r="J812" s="3" t="n"/>
    </row>
    <row r="813">
      <c r="I813" s="3" t="n"/>
      <c r="J813" s="3" t="n"/>
    </row>
    <row r="814">
      <c r="I814" s="3" t="n"/>
      <c r="J814" s="3" t="n"/>
    </row>
    <row r="815">
      <c r="I815" s="3" t="n"/>
      <c r="J815" s="3" t="n"/>
    </row>
    <row r="816">
      <c r="I816" s="3" t="n"/>
      <c r="J816" s="3" t="n"/>
    </row>
    <row r="817">
      <c r="I817" s="3" t="n"/>
      <c r="J817" s="3" t="n"/>
    </row>
    <row r="818">
      <c r="I818" s="3" t="n"/>
      <c r="J818" s="3" t="n"/>
    </row>
    <row r="819">
      <c r="I819" s="3" t="n"/>
      <c r="J819" s="3" t="n"/>
    </row>
    <row r="820">
      <c r="I820" s="3" t="n"/>
      <c r="J820" s="3" t="n"/>
    </row>
    <row r="821">
      <c r="I821" s="3" t="n"/>
      <c r="J821" s="3" t="n"/>
    </row>
    <row r="822">
      <c r="I822" s="3" t="n"/>
      <c r="J822" s="3" t="n"/>
    </row>
    <row r="823">
      <c r="I823" s="3" t="n"/>
      <c r="J823" s="3" t="n"/>
    </row>
    <row r="824">
      <c r="I824" s="3" t="n"/>
      <c r="J824" s="3" t="n"/>
    </row>
    <row r="825">
      <c r="I825" s="3" t="n"/>
      <c r="J825" s="3" t="n"/>
    </row>
    <row r="826">
      <c r="I826" s="3" t="n"/>
      <c r="J826" s="3" t="n"/>
    </row>
    <row r="827">
      <c r="I827" s="3" t="n"/>
      <c r="J827" s="3" t="n"/>
    </row>
    <row r="828">
      <c r="I828" s="3" t="n"/>
      <c r="J828" s="3" t="n"/>
    </row>
    <row r="829">
      <c r="I829" s="3" t="n"/>
      <c r="J829" s="3" t="n"/>
    </row>
    <row r="830">
      <c r="I830" s="3" t="n"/>
      <c r="J830" s="3" t="n"/>
    </row>
    <row r="831">
      <c r="I831" s="3" t="n"/>
      <c r="J831" s="3" t="n"/>
    </row>
    <row r="832">
      <c r="I832" s="3" t="n"/>
      <c r="J832" s="3" t="n"/>
    </row>
    <row r="833">
      <c r="I833" s="3" t="n"/>
      <c r="J833" s="3" t="n"/>
    </row>
    <row r="834">
      <c r="I834" s="3" t="n"/>
      <c r="J834" s="3" t="n"/>
    </row>
    <row r="835">
      <c r="I835" s="3" t="n"/>
      <c r="J835" s="3" t="n"/>
    </row>
    <row r="836">
      <c r="I836" s="3" t="n"/>
      <c r="J836" s="3" t="n"/>
    </row>
    <row r="837">
      <c r="I837" s="3" t="n"/>
      <c r="J837" s="3" t="n"/>
    </row>
    <row r="838">
      <c r="I838" s="3" t="n"/>
      <c r="J838" s="3" t="n"/>
    </row>
    <row r="839">
      <c r="I839" s="3" t="n"/>
      <c r="J839" s="3" t="n"/>
    </row>
    <row r="840">
      <c r="I840" s="3" t="n"/>
      <c r="J840" s="3" t="n"/>
    </row>
    <row r="841">
      <c r="I841" s="3" t="n"/>
      <c r="J841" s="3" t="n"/>
    </row>
    <row r="842">
      <c r="I842" s="3" t="n"/>
      <c r="J842" s="3" t="n"/>
    </row>
    <row r="843">
      <c r="I843" s="3" t="n"/>
      <c r="J843" s="3" t="n"/>
    </row>
    <row r="844">
      <c r="I844" s="3" t="n"/>
      <c r="J844" s="3" t="n"/>
    </row>
    <row r="845">
      <c r="I845" s="3" t="n"/>
      <c r="J845" s="3" t="n"/>
    </row>
    <row r="846">
      <c r="I846" s="3" t="n"/>
      <c r="J846" s="3" t="n"/>
    </row>
    <row r="847">
      <c r="I847" s="3" t="n"/>
      <c r="J847" s="3" t="n"/>
    </row>
    <row r="848">
      <c r="I848" s="3" t="n"/>
      <c r="J848" s="3" t="n"/>
    </row>
    <row r="849">
      <c r="I849" s="3" t="n"/>
      <c r="J849" s="3" t="n"/>
    </row>
    <row r="850">
      <c r="I850" s="3" t="n"/>
      <c r="J850" s="3" t="n"/>
    </row>
    <row r="851">
      <c r="I851" s="3" t="n"/>
      <c r="J851" s="3" t="n"/>
    </row>
    <row r="852">
      <c r="I852" s="3" t="n"/>
      <c r="J852" s="3" t="n"/>
    </row>
    <row r="853">
      <c r="I853" s="3" t="n"/>
      <c r="J853" s="3" t="n"/>
    </row>
    <row r="854">
      <c r="I854" s="3" t="n"/>
      <c r="J854" s="3" t="n"/>
    </row>
    <row r="855">
      <c r="I855" s="3" t="n"/>
      <c r="J855" s="3" t="n"/>
    </row>
    <row r="856">
      <c r="I856" s="3" t="n"/>
      <c r="J856" s="3" t="n"/>
    </row>
    <row r="857">
      <c r="I857" s="3" t="n"/>
      <c r="J857" s="3" t="n"/>
    </row>
    <row r="858">
      <c r="I858" s="3" t="n"/>
      <c r="J858" s="3" t="n"/>
    </row>
    <row r="859">
      <c r="I859" s="3" t="n"/>
      <c r="J859" s="3" t="n"/>
    </row>
    <row r="860">
      <c r="I860" s="3" t="n"/>
      <c r="J860" s="3" t="n"/>
    </row>
    <row r="861">
      <c r="I861" s="3" t="n"/>
      <c r="J861" s="3" t="n"/>
    </row>
    <row r="862">
      <c r="I862" s="3" t="n"/>
      <c r="J862" s="3" t="n"/>
    </row>
    <row r="863">
      <c r="I863" s="3" t="n"/>
      <c r="J863" s="3" t="n"/>
    </row>
    <row r="864">
      <c r="I864" s="3" t="n"/>
      <c r="J864" s="3" t="n"/>
    </row>
    <row r="865">
      <c r="I865" s="3" t="n"/>
      <c r="J865" s="3" t="n"/>
    </row>
    <row r="866">
      <c r="I866" s="3" t="n"/>
      <c r="J866" s="3" t="n"/>
    </row>
    <row r="867">
      <c r="I867" s="3" t="n"/>
      <c r="J867" s="3" t="n"/>
    </row>
    <row r="868">
      <c r="I868" s="3" t="n"/>
      <c r="J868" s="3" t="n"/>
    </row>
    <row r="869">
      <c r="I869" s="3" t="n"/>
      <c r="J869" s="3" t="n"/>
    </row>
    <row r="870">
      <c r="I870" s="3" t="n"/>
      <c r="J870" s="3" t="n"/>
    </row>
    <row r="871">
      <c r="I871" s="3" t="n"/>
      <c r="J871" s="3" t="n"/>
    </row>
    <row r="872">
      <c r="I872" s="3" t="n"/>
      <c r="J872" s="3" t="n"/>
    </row>
    <row r="873">
      <c r="I873" s="3" t="n"/>
      <c r="J873" s="3" t="n"/>
    </row>
    <row r="874">
      <c r="I874" s="3" t="n"/>
      <c r="J874" s="3" t="n"/>
    </row>
    <row r="875">
      <c r="I875" s="3" t="n"/>
      <c r="J875" s="3" t="n"/>
    </row>
    <row r="876">
      <c r="I876" s="3" t="n"/>
      <c r="J876" s="3" t="n"/>
    </row>
    <row r="877">
      <c r="I877" s="3" t="n"/>
      <c r="J877" s="3" t="n"/>
    </row>
    <row r="878">
      <c r="I878" s="3" t="n"/>
      <c r="J878" s="3" t="n"/>
    </row>
    <row r="879">
      <c r="I879" s="3" t="n"/>
      <c r="J879" s="3" t="n"/>
    </row>
    <row r="880">
      <c r="I880" s="3" t="n"/>
      <c r="J880" s="3" t="n"/>
    </row>
    <row r="881">
      <c r="I881" s="3" t="n"/>
      <c r="J881" s="3" t="n"/>
    </row>
    <row r="882">
      <c r="I882" s="3" t="n"/>
      <c r="J882" s="3" t="n"/>
    </row>
    <row r="883">
      <c r="I883" s="3" t="n"/>
      <c r="J883" s="3" t="n"/>
    </row>
    <row r="884">
      <c r="I884" s="3" t="n"/>
      <c r="J884" s="3" t="n"/>
    </row>
    <row r="885">
      <c r="I885" s="3" t="n"/>
      <c r="J885" s="3" t="n"/>
    </row>
    <row r="886">
      <c r="I886" s="3" t="n"/>
      <c r="J886" s="3" t="n"/>
    </row>
    <row r="887">
      <c r="I887" s="3" t="n"/>
      <c r="J887" s="3" t="n"/>
    </row>
    <row r="888">
      <c r="I888" s="3" t="n"/>
      <c r="J888" s="3" t="n"/>
    </row>
    <row r="889">
      <c r="I889" s="3" t="n"/>
      <c r="J889" s="3" t="n"/>
    </row>
    <row r="890">
      <c r="I890" s="3" t="n"/>
      <c r="J890" s="3" t="n"/>
    </row>
    <row r="891">
      <c r="I891" s="3" t="n"/>
      <c r="J891" s="3" t="n"/>
    </row>
    <row r="892">
      <c r="I892" s="3" t="n"/>
      <c r="J892" s="3" t="n"/>
    </row>
    <row r="893">
      <c r="I893" s="3" t="n"/>
      <c r="J893" s="3" t="n"/>
    </row>
    <row r="894">
      <c r="I894" s="3" t="n"/>
      <c r="J894" s="3" t="n"/>
    </row>
    <row r="895">
      <c r="I895" s="3" t="n"/>
      <c r="J895" s="3" t="n"/>
    </row>
    <row r="896">
      <c r="I896" s="3" t="n"/>
      <c r="J896" s="3" t="n"/>
    </row>
    <row r="897">
      <c r="I897" s="3" t="n"/>
      <c r="J897" s="3" t="n"/>
    </row>
    <row r="898">
      <c r="I898" s="3" t="n"/>
      <c r="J898" s="3" t="n"/>
    </row>
    <row r="899">
      <c r="I899" s="3" t="n"/>
      <c r="J899" s="3" t="n"/>
    </row>
    <row r="900">
      <c r="I900" s="3" t="n"/>
      <c r="J900" s="3" t="n"/>
    </row>
    <row r="901">
      <c r="I901" s="3" t="n"/>
      <c r="J901" s="3" t="n"/>
    </row>
    <row r="902">
      <c r="I902" s="3" t="n"/>
      <c r="J902" s="3" t="n"/>
    </row>
    <row r="903">
      <c r="I903" s="3" t="n"/>
      <c r="J903" s="3" t="n"/>
    </row>
    <row r="904">
      <c r="I904" s="3" t="n"/>
      <c r="J904" s="3" t="n"/>
    </row>
    <row r="905">
      <c r="I905" s="3" t="n"/>
      <c r="J905" s="3" t="n"/>
    </row>
    <row r="906">
      <c r="I906" s="3" t="n"/>
      <c r="J906" s="3" t="n"/>
    </row>
    <row r="907">
      <c r="I907" s="3" t="n"/>
      <c r="J907" s="3" t="n"/>
    </row>
    <row r="908">
      <c r="I908" s="3" t="n"/>
      <c r="J908" s="3" t="n"/>
    </row>
    <row r="909">
      <c r="I909" s="3" t="n"/>
      <c r="J909" s="3" t="n"/>
    </row>
    <row r="910">
      <c r="I910" s="3" t="n"/>
      <c r="J910" s="3" t="n"/>
    </row>
    <row r="911">
      <c r="I911" s="3" t="n"/>
      <c r="J911" s="3" t="n"/>
    </row>
    <row r="912">
      <c r="I912" s="3" t="n"/>
      <c r="J912" s="3" t="n"/>
    </row>
    <row r="913">
      <c r="I913" s="3" t="n"/>
      <c r="J913" s="3" t="n"/>
    </row>
    <row r="914">
      <c r="I914" s="3" t="n"/>
      <c r="J914" s="3" t="n"/>
    </row>
    <row r="915">
      <c r="I915" s="3" t="n"/>
      <c r="J915" s="3" t="n"/>
    </row>
    <row r="916">
      <c r="I916" s="3" t="n"/>
      <c r="J916" s="3" t="n"/>
    </row>
    <row r="917">
      <c r="I917" s="3" t="n"/>
      <c r="J917" s="3" t="n"/>
    </row>
    <row r="918">
      <c r="I918" s="3" t="n"/>
      <c r="J918" s="3" t="n"/>
    </row>
    <row r="919">
      <c r="I919" s="3" t="n"/>
      <c r="J919" s="3" t="n"/>
    </row>
    <row r="920">
      <c r="I920" s="3" t="n"/>
      <c r="J920" s="3" t="n"/>
    </row>
    <row r="921">
      <c r="I921" s="3" t="n"/>
      <c r="J921" s="3" t="n"/>
    </row>
    <row r="922">
      <c r="I922" s="3" t="n"/>
      <c r="J922" s="3" t="n"/>
    </row>
    <row r="923">
      <c r="I923" s="3" t="n"/>
      <c r="J923" s="3" t="n"/>
    </row>
    <row r="924">
      <c r="I924" s="3" t="n"/>
      <c r="J924" s="3" t="n"/>
    </row>
    <row r="925">
      <c r="I925" s="3" t="n"/>
      <c r="J925" s="3" t="n"/>
    </row>
    <row r="926">
      <c r="I926" s="3" t="n"/>
      <c r="J926" s="3" t="n"/>
    </row>
    <row r="927">
      <c r="I927" s="3" t="n"/>
      <c r="J927" s="3" t="n"/>
    </row>
    <row r="928">
      <c r="I928" s="3" t="n"/>
      <c r="J928" s="3" t="n"/>
    </row>
    <row r="929">
      <c r="I929" s="3" t="n"/>
      <c r="J929" s="3" t="n"/>
    </row>
    <row r="930">
      <c r="I930" s="3" t="n"/>
      <c r="J930" s="3" t="n"/>
    </row>
    <row r="931">
      <c r="I931" s="3" t="n"/>
      <c r="J931" s="3" t="n"/>
    </row>
    <row r="932">
      <c r="I932" s="3" t="n"/>
      <c r="J932" s="3" t="n"/>
    </row>
    <row r="933">
      <c r="I933" s="3" t="n"/>
      <c r="J933" s="3" t="n"/>
    </row>
    <row r="934">
      <c r="I934" s="3" t="n"/>
      <c r="J934" s="3" t="n"/>
    </row>
    <row r="935">
      <c r="I935" s="3" t="n"/>
      <c r="J935" s="3" t="n"/>
    </row>
    <row r="936">
      <c r="I936" s="3" t="n"/>
      <c r="J936" s="3" t="n"/>
    </row>
    <row r="937">
      <c r="I937" s="3" t="n"/>
      <c r="J937" s="3" t="n"/>
    </row>
    <row r="938">
      <c r="I938" s="3" t="n"/>
      <c r="J938" s="3" t="n"/>
    </row>
    <row r="939">
      <c r="I939" s="3" t="n"/>
      <c r="J939" s="3" t="n"/>
    </row>
    <row r="940">
      <c r="I940" s="3" t="n"/>
      <c r="J940" s="3" t="n"/>
    </row>
    <row r="941">
      <c r="I941" s="3" t="n"/>
      <c r="J941" s="3" t="n"/>
    </row>
    <row r="942">
      <c r="I942" s="3" t="n"/>
      <c r="J942" s="3" t="n"/>
    </row>
    <row r="943">
      <c r="I943" s="3" t="n"/>
      <c r="J943" s="3" t="n"/>
    </row>
    <row r="944">
      <c r="I944" s="3" t="n"/>
      <c r="J944" s="3" t="n"/>
    </row>
    <row r="945">
      <c r="I945" s="3" t="n"/>
      <c r="J945" s="3" t="n"/>
    </row>
    <row r="946">
      <c r="I946" s="3" t="n"/>
      <c r="J946" s="3" t="n"/>
    </row>
    <row r="947">
      <c r="I947" s="3" t="n"/>
      <c r="J947" s="3" t="n"/>
    </row>
    <row r="948">
      <c r="I948" s="3" t="n"/>
      <c r="J948" s="3" t="n"/>
    </row>
    <row r="949">
      <c r="I949" s="3" t="n"/>
      <c r="J949" s="3" t="n"/>
    </row>
    <row r="950">
      <c r="I950" s="3" t="n"/>
      <c r="J950" s="3" t="n"/>
    </row>
    <row r="951">
      <c r="I951" s="3" t="n"/>
      <c r="J951" s="3" t="n"/>
    </row>
    <row r="952">
      <c r="I952" s="3" t="n"/>
      <c r="J952" s="3" t="n"/>
    </row>
    <row r="953">
      <c r="I953" s="3" t="n"/>
      <c r="J953" s="3" t="n"/>
    </row>
    <row r="954">
      <c r="I954" s="3" t="n"/>
      <c r="J954" s="3" t="n"/>
    </row>
    <row r="955">
      <c r="I955" s="3" t="n"/>
      <c r="J955" s="3" t="n"/>
    </row>
    <row r="956">
      <c r="I956" s="3" t="n"/>
      <c r="J956" s="3" t="n"/>
    </row>
    <row r="957">
      <c r="I957" s="3" t="n"/>
      <c r="J957" s="3" t="n"/>
    </row>
    <row r="958">
      <c r="I958" s="3" t="n"/>
      <c r="J958" s="3" t="n"/>
    </row>
    <row r="959">
      <c r="I959" s="3" t="n"/>
      <c r="J959" s="3" t="n"/>
    </row>
    <row r="960">
      <c r="I960" s="3" t="n"/>
      <c r="J960" s="3" t="n"/>
    </row>
    <row r="961">
      <c r="I961" s="3" t="n"/>
      <c r="J961" s="3" t="n"/>
    </row>
    <row r="962">
      <c r="I962" s="3" t="n"/>
      <c r="J962" s="3" t="n"/>
    </row>
    <row r="963">
      <c r="I963" s="3" t="n"/>
      <c r="J963" s="3" t="n"/>
    </row>
    <row r="964">
      <c r="I964" s="3" t="n"/>
      <c r="J964" s="3" t="n"/>
    </row>
    <row r="965">
      <c r="I965" s="3" t="n"/>
      <c r="J965" s="3" t="n"/>
    </row>
    <row r="966">
      <c r="I966" s="3" t="n"/>
      <c r="J966" s="3" t="n"/>
    </row>
    <row r="967">
      <c r="I967" s="3" t="n"/>
      <c r="J967" s="3" t="n"/>
    </row>
    <row r="968">
      <c r="I968" s="3" t="n"/>
      <c r="J968" s="3" t="n"/>
    </row>
    <row r="969">
      <c r="I969" s="3" t="n"/>
      <c r="J969" s="3" t="n"/>
    </row>
    <row r="970">
      <c r="I970" s="3" t="n"/>
      <c r="J970" s="3" t="n"/>
    </row>
    <row r="971">
      <c r="I971" s="3" t="n"/>
      <c r="J971" s="3" t="n"/>
    </row>
    <row r="972">
      <c r="I972" s="3" t="n"/>
      <c r="J972" s="3" t="n"/>
    </row>
    <row r="973">
      <c r="I973" s="3" t="n"/>
      <c r="J973" s="3" t="n"/>
    </row>
    <row r="974">
      <c r="I974" s="3" t="n"/>
      <c r="J974" s="3" t="n"/>
    </row>
    <row r="975">
      <c r="I975" s="3" t="n"/>
      <c r="J975" s="3" t="n"/>
    </row>
    <row r="976">
      <c r="I976" s="3" t="n"/>
      <c r="J976" s="3" t="n"/>
    </row>
    <row r="977">
      <c r="I977" s="3" t="n"/>
      <c r="J977" s="3" t="n"/>
    </row>
    <row r="978">
      <c r="I978" s="3" t="n"/>
      <c r="J978" s="3" t="n"/>
    </row>
    <row r="979">
      <c r="I979" s="3" t="n"/>
      <c r="J979" s="3" t="n"/>
    </row>
    <row r="980">
      <c r="I980" s="3" t="n"/>
      <c r="J980" s="3" t="n"/>
    </row>
    <row r="981">
      <c r="I981" s="3" t="n"/>
      <c r="J981" s="3" t="n"/>
    </row>
    <row r="982">
      <c r="I982" s="3" t="n"/>
      <c r="J982" s="3" t="n"/>
    </row>
    <row r="983">
      <c r="I983" s="3" t="n"/>
      <c r="J983" s="3" t="n"/>
    </row>
    <row r="984">
      <c r="I984" s="3" t="n"/>
      <c r="J984" s="3" t="n"/>
    </row>
    <row r="985">
      <c r="I985" s="3" t="n"/>
      <c r="J985" s="3" t="n"/>
    </row>
    <row r="986">
      <c r="I986" s="3" t="n"/>
      <c r="J986" s="3" t="n"/>
    </row>
    <row r="987">
      <c r="I987" s="3" t="n"/>
      <c r="J987" s="3" t="n"/>
    </row>
    <row r="988">
      <c r="I988" s="3" t="n"/>
      <c r="J988" s="3" t="n"/>
    </row>
    <row r="989">
      <c r="I989" s="3" t="n"/>
      <c r="J989" s="3" t="n"/>
    </row>
    <row r="990">
      <c r="I990" s="3" t="n"/>
      <c r="J990" s="3" t="n"/>
    </row>
    <row r="991">
      <c r="I991" s="3" t="n"/>
      <c r="J991" s="3" t="n"/>
    </row>
    <row r="992">
      <c r="I992" s="3" t="n"/>
      <c r="J992" s="3" t="n"/>
    </row>
    <row r="993">
      <c r="I993" s="3" t="n"/>
      <c r="J993" s="3" t="n"/>
    </row>
    <row r="994">
      <c r="I994" s="3" t="n"/>
      <c r="J994" s="3" t="n"/>
    </row>
    <row r="995">
      <c r="I995" s="3" t="n"/>
      <c r="J995" s="3" t="n"/>
    </row>
    <row r="996">
      <c r="I996" s="3" t="n"/>
      <c r="J996" s="3" t="n"/>
    </row>
    <row r="997">
      <c r="I997" s="3" t="n"/>
      <c r="J997" s="3" t="n"/>
    </row>
    <row r="998">
      <c r="I998" s="3" t="n"/>
      <c r="J998" s="3" t="n"/>
    </row>
    <row r="999">
      <c r="I999" s="3" t="n"/>
      <c r="J999" s="3" t="n"/>
    </row>
    <row r="1000">
      <c r="I1000" s="3" t="n"/>
      <c r="J1000" s="3" t="n"/>
    </row>
  </sheetData>
  <mergeCells count="25">
    <mergeCell ref="A108:F108"/>
    <mergeCell ref="A131:M131"/>
    <mergeCell ref="A153:I153"/>
    <mergeCell ref="A129:F129"/>
    <mergeCell ref="A76:F76"/>
    <mergeCell ref="A151:F151"/>
    <mergeCell ref="A116:F116"/>
    <mergeCell ref="A32:F32"/>
    <mergeCell ref="A34:M34"/>
    <mergeCell ref="A22:F22"/>
    <mergeCell ref="A97:F97"/>
    <mergeCell ref="A24:M24"/>
    <mergeCell ref="A1:M1"/>
    <mergeCell ref="A110:M110"/>
    <mergeCell ref="A78:M78"/>
    <mergeCell ref="A64:F64"/>
    <mergeCell ref="A99:M99"/>
    <mergeCell ref="A66:M66"/>
    <mergeCell ref="A118:M118"/>
    <mergeCell ref="A89:M89"/>
    <mergeCell ref="A45:F45"/>
    <mergeCell ref="A3:M3"/>
    <mergeCell ref="A2:M2"/>
    <mergeCell ref="A87:F87"/>
    <mergeCell ref="A47:M47"/>
  </mergeCells>
  <dataValidations count="2">
    <dataValidation sqref="L4:L500" showDropDown="0" showInputMessage="0" showErrorMessage="0" allowBlank="1" type="list">
      <formula1>"Critical,Recommended,Optional"</formula1>
    </dataValidation>
    <dataValidation sqref="M4:M500" showDropDown="0" showInputMessage="0" showErrorMessage="0" allowBlank="1" type="list">
      <formula1>"To Order,In Stock,Ordered"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2026-05-15T10:51:25Z</dcterms:created>
  <dcterms:modified xmlns:dcterms="http://purl.org/dc/terms/" xmlns:xsi="http://www.w3.org/2001/XMLSchema-instance" xsi:type="dcterms:W3CDTF">2026-05-15T10:53:15Z</dcterms:modified>
</cp:coreProperties>
</file>